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1"/>
  </bookViews>
  <sheets>
    <sheet name="自动卡用户手册" sheetId="6" r:id="rId1"/>
    <sheet name="人物卡" sheetId="1" r:id="rId2"/>
    <sheet name="装备卡" sheetId="2" r:id="rId3"/>
    <sheet name="状态表" sheetId="4" r:id="rId4"/>
    <sheet name="RP卡" sheetId="5" r:id="rId5"/>
    <sheet name="成长表" sheetId="7" r:id="rId6"/>
  </sheets>
  <definedNames>
    <definedName name="_xlnm._FilterDatabase" localSheetId="1" hidden="1">人物卡!$T$4:$X$26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<sst xmlns="http://schemas.openxmlformats.org/spreadsheetml/2006/main" count="539" uniqueCount="362">
  <si>
    <t>这张自动卡是基于赛博朋克红的规则书和群里已有的自动卡设计的，感谢前人的贡献！</t>
  </si>
  <si>
    <t>主要是想让卡好看点，视觉上更符合赛博朋克红的感觉，同时更适配面团</t>
  </si>
  <si>
    <t>（就我感觉规则书上的卡看着眼睛疼吗？）</t>
  </si>
  <si>
    <t>面团建议是可以只打印人物卡，别的边跑边看手机</t>
  </si>
  <si>
    <t>根据规则书中的车卡顺序你会依次写RP卡，人物卡，装备卡，状态表</t>
  </si>
  <si>
    <t>里面有些自动数值设计不符合规则书，我知道</t>
  </si>
  <si>
    <t>例如人性值上限，技能使用的是加点而非等级</t>
  </si>
  <si>
    <t>一般情况下不影响游戏，如果你觉得有问题就自己改改</t>
  </si>
  <si>
    <t>里面有些数值看着不对劲，这是因为我在里面塞了一点例子，填完自己会好的</t>
  </si>
  <si>
    <t>会自动计算属性、技能基准、生命值上限、人性值上限和一些杂七杂八的东西</t>
  </si>
  <si>
    <t>你装备的武器和护甲请填写在装备卡中，会自动出现在人物卡</t>
  </si>
  <si>
    <t>使用的赛博义体填在状态表里，扣除的人性值会自动减少人性值上限</t>
  </si>
  <si>
    <t>如果你通过任何手段降低了义体减少的人性值，直接在状态表的义体统计里修改</t>
  </si>
  <si>
    <t>所有使用</t>
  </si>
  <si>
    <t>这个背景颜色</t>
  </si>
  <si>
    <t>的单元格均为自动计算</t>
  </si>
  <si>
    <t>随便改会弄坏自动表</t>
  </si>
  <si>
    <t>（基本上手动填的就是白色底色）</t>
  </si>
  <si>
    <t>有重大问题群里@zcrss，就是我，不保证能改</t>
  </si>
  <si>
    <t>推荐使用MiSans Semibold字体以获得最佳体验</t>
  </si>
  <si>
    <t>最后，您可以删除此工作表</t>
  </si>
  <si>
    <t>祝您游戏愉快！</t>
  </si>
  <si>
    <t>基础信息</t>
  </si>
  <si>
    <t>人物属性</t>
  </si>
  <si>
    <t>调整属性/结果</t>
  </si>
  <si>
    <t>技能</t>
  </si>
  <si>
    <t>智力</t>
  </si>
  <si>
    <t>感官技能</t>
  </si>
  <si>
    <t>调整</t>
  </si>
  <si>
    <t>加点</t>
  </si>
  <si>
    <t>技能基准</t>
  </si>
  <si>
    <t>教育技能</t>
  </si>
  <si>
    <t>战斗技能</t>
  </si>
  <si>
    <t>专注</t>
  </si>
  <si>
    <t>会计</t>
  </si>
  <si>
    <t>搏击</t>
  </si>
  <si>
    <t>反应</t>
  </si>
  <si>
    <t>隐藏/发现物品</t>
  </si>
  <si>
    <t>驯兽</t>
  </si>
  <si>
    <t>闪避</t>
  </si>
  <si>
    <t>唇语</t>
  </si>
  <si>
    <t>官场</t>
  </si>
  <si>
    <t>[x2]</t>
  </si>
  <si>
    <t>（武术流派）</t>
  </si>
  <si>
    <t>敏捷</t>
  </si>
  <si>
    <t>察觉</t>
  </si>
  <si>
    <t>商务</t>
  </si>
  <si>
    <t>近战武器</t>
  </si>
  <si>
    <t>追踪</t>
  </si>
  <si>
    <t>写作</t>
  </si>
  <si>
    <t>远程武器技能</t>
  </si>
  <si>
    <t>技术</t>
  </si>
  <si>
    <t>身体技能</t>
  </si>
  <si>
    <t>犯罪学</t>
  </si>
  <si>
    <t>弓道</t>
  </si>
  <si>
    <t>运动</t>
  </si>
  <si>
    <t>密码学</t>
  </si>
  <si>
    <t>[x2]自动武器</t>
  </si>
  <si>
    <t>酷</t>
  </si>
  <si>
    <t>柔韧</t>
  </si>
  <si>
    <t>推理</t>
  </si>
  <si>
    <t>手枪</t>
  </si>
  <si>
    <t>舞蹈</t>
  </si>
  <si>
    <t>通识</t>
  </si>
  <si>
    <t>[x2]重武器</t>
  </si>
  <si>
    <t>意志</t>
  </si>
  <si>
    <t>忍耐</t>
  </si>
  <si>
    <t>赌博</t>
  </si>
  <si>
    <t>长管武器</t>
  </si>
  <si>
    <t>头像</t>
  </si>
  <si>
    <t>抗折磨/耐药</t>
  </si>
  <si>
    <t>图书馆检索</t>
  </si>
  <si>
    <t>社交技能</t>
  </si>
  <si>
    <t>玩家</t>
  </si>
  <si>
    <t>运气</t>
  </si>
  <si>
    <t>潜行</t>
  </si>
  <si>
    <t>科学</t>
  </si>
  <si>
    <t>贿赂</t>
  </si>
  <si>
    <t>姓名</t>
  </si>
  <si>
    <t>操作技能</t>
  </si>
  <si>
    <t>战术</t>
  </si>
  <si>
    <t>交谈</t>
  </si>
  <si>
    <t>外号</t>
  </si>
  <si>
    <t>移速</t>
  </si>
  <si>
    <t>陆地载具</t>
  </si>
  <si>
    <t>野外生存</t>
  </si>
  <si>
    <t>察言观色</t>
  </si>
  <si>
    <t>年龄</t>
  </si>
  <si>
    <t>性别</t>
  </si>
  <si>
    <t>[x2]空中载具</t>
  </si>
  <si>
    <t>语言</t>
  </si>
  <si>
    <t>审讯</t>
  </si>
  <si>
    <t>故乡</t>
  </si>
  <si>
    <t>体格</t>
  </si>
  <si>
    <t>水上载具</t>
  </si>
  <si>
    <t>┣→</t>
  </si>
  <si>
    <t>街头俚语</t>
  </si>
  <si>
    <t>说服</t>
  </si>
  <si>
    <t>等级</t>
  </si>
  <si>
    <t>声望</t>
  </si>
  <si>
    <t>骑术</t>
  </si>
  <si>
    <t>母语</t>
  </si>
  <si>
    <t>个人装扮</t>
  </si>
  <si>
    <t>原生家庭</t>
  </si>
  <si>
    <t>共情</t>
  </si>
  <si>
    <t>表演技能</t>
  </si>
  <si>
    <t>┗→</t>
  </si>
  <si>
    <t>街头智慧</t>
  </si>
  <si>
    <t>表演</t>
  </si>
  <si>
    <t>本地专家</t>
  </si>
  <si>
    <t>交易</t>
  </si>
  <si>
    <t>可用点数</t>
  </si>
  <si>
    <t>先攻 调整</t>
  </si>
  <si>
    <t>乐器使用</t>
  </si>
  <si>
    <t>你的家</t>
  </si>
  <si>
    <t>服饰与风格</t>
  </si>
  <si>
    <t>职业</t>
  </si>
  <si>
    <t>剩余点数</t>
  </si>
  <si>
    <t>技术技能</t>
  </si>
  <si>
    <t>空中载具技术</t>
  </si>
  <si>
    <t>职业名</t>
  </si>
  <si>
    <t>基础技术</t>
  </si>
  <si>
    <t>能力</t>
  </si>
  <si>
    <t>状态</t>
  </si>
  <si>
    <t>赛博技术</t>
  </si>
  <si>
    <t>兼职1</t>
  </si>
  <si>
    <t>影响血量的意志与体格直接加在人物属性</t>
  </si>
  <si>
    <t>护甲与武器</t>
  </si>
  <si>
    <t>[x2]爆破学</t>
  </si>
  <si>
    <t>生命值</t>
  </si>
  <si>
    <t>/</t>
  </si>
  <si>
    <t>[x2]电子/安全技术</t>
  </si>
  <si>
    <t>兼职2</t>
  </si>
  <si>
    <t>护甲</t>
  </si>
  <si>
    <t>剩余/SP</t>
  </si>
  <si>
    <t>罚值</t>
  </si>
  <si>
    <t>急救</t>
  </si>
  <si>
    <t>人性值</t>
  </si>
  <si>
    <t>头</t>
  </si>
  <si>
    <t>此处罚值不需要再填调整属性，会自动计算</t>
  </si>
  <si>
    <t>[x2]强化急救</t>
  </si>
  <si>
    <t>身</t>
  </si>
  <si>
    <t>伪造</t>
  </si>
  <si>
    <t>备注</t>
  </si>
  <si>
    <t>人性值变化导致的共情变化会被自动计算</t>
  </si>
  <si>
    <t>盾</t>
  </si>
  <si>
    <t>地面载具技术</t>
  </si>
  <si>
    <t>严重伤势</t>
  </si>
  <si>
    <t>效果</t>
  </si>
  <si>
    <t>武器</t>
  </si>
  <si>
    <t>伤害</t>
  </si>
  <si>
    <t>剩余/弹药</t>
  </si>
  <si>
    <t>攻速</t>
  </si>
  <si>
    <t>绘画/雕刻/摄影</t>
  </si>
  <si>
    <t>摄影/摄像</t>
  </si>
  <si>
    <t>开锁</t>
  </si>
  <si>
    <t>扒窃</t>
  </si>
  <si>
    <t>海洋载具技术</t>
  </si>
  <si>
    <t>武器技术</t>
  </si>
  <si>
    <t>剩余</t>
  </si>
  <si>
    <t>加点列浅红色标记的为必须点的基础加点，技能列红色[x2]的在加点列+2才会+1技能基准</t>
  </si>
  <si>
    <t>死亡豁免调整</t>
  </si>
  <si>
    <t>下方已有武器为示例，使用前请删除</t>
  </si>
  <si>
    <t>钱包</t>
  </si>
  <si>
    <t>背包</t>
  </si>
  <si>
    <t>下方已有物品为示例，使用前请删除</t>
  </si>
  <si>
    <t>武器名称</t>
  </si>
  <si>
    <t>武器类型</t>
  </si>
  <si>
    <t>武器技能</t>
  </si>
  <si>
    <t>单次伤害</t>
  </si>
  <si>
    <t>弹药容量</t>
  </si>
  <si>
    <t>需要手数</t>
  </si>
  <si>
    <t>能否隐藏</t>
  </si>
  <si>
    <t>成本</t>
  </si>
  <si>
    <t>价值</t>
  </si>
  <si>
    <t>专项预算</t>
  </si>
  <si>
    <t>时尚预算</t>
  </si>
  <si>
    <t>物品</t>
  </si>
  <si>
    <t>描述</t>
  </si>
  <si>
    <t>数量</t>
  </si>
  <si>
    <t>义体赞助</t>
  </si>
  <si>
    <t>流动资金</t>
  </si>
  <si>
    <t>初始资金</t>
  </si>
  <si>
    <t>配件</t>
  </si>
  <si>
    <t>收益</t>
  </si>
  <si>
    <t>购物支出</t>
  </si>
  <si>
    <t>消耗支出</t>
  </si>
  <si>
    <t>总计</t>
  </si>
  <si>
    <t>会自动计算表格里填的，已消耗的消耗品和购买服务等花费填在消耗支出里</t>
  </si>
  <si>
    <t>衣食住行</t>
  </si>
  <si>
    <t>这里不会参与自动计算</t>
  </si>
  <si>
    <t>生活风格</t>
  </si>
  <si>
    <t>花费</t>
  </si>
  <si>
    <t>住所</t>
  </si>
  <si>
    <t>本月已支付</t>
  </si>
  <si>
    <t>总开销</t>
  </si>
  <si>
    <t>时尚衣物</t>
  </si>
  <si>
    <t>单价</t>
  </si>
  <si>
    <t>时尚总费用</t>
  </si>
  <si>
    <t>下方已有护甲为示例，使用前请删除</t>
  </si>
  <si>
    <t>护甲部位</t>
  </si>
  <si>
    <t>护甲名称</t>
  </si>
  <si>
    <t>护甲类型</t>
  </si>
  <si>
    <t>阻滞力</t>
  </si>
  <si>
    <t>护甲惩罚</t>
  </si>
  <si>
    <t>头部</t>
  </si>
  <si>
    <t>身体</t>
  </si>
  <si>
    <t>盾牌</t>
  </si>
  <si>
    <t>义体统计</t>
  </si>
  <si>
    <t>下方已有义体为示例，使用前请删除</t>
  </si>
  <si>
    <t>伤势</t>
  </si>
  <si>
    <t>仅供参考，不参与自动计算</t>
  </si>
  <si>
    <t>精神状态</t>
  </si>
  <si>
    <t>总成本</t>
  </si>
  <si>
    <t>总价值</t>
  </si>
  <si>
    <t>总人性损失</t>
  </si>
  <si>
    <t>总生命值</t>
  </si>
  <si>
    <t>伤势状态</t>
  </si>
  <si>
    <t>伤势效果</t>
  </si>
  <si>
    <t>救治难度</t>
  </si>
  <si>
    <t>左侧伤势状态自动计算，
生命值变化时请调整人物卡</t>
  </si>
  <si>
    <t>人性值上限</t>
  </si>
  <si>
    <t>基础义体</t>
  </si>
  <si>
    <t>插槽</t>
  </si>
  <si>
    <t>组件名</t>
  </si>
  <si>
    <t>安装设施</t>
  </si>
  <si>
    <t>描述和数据</t>
  </si>
  <si>
    <t>人性损失</t>
  </si>
  <si>
    <t>人性值变动记录</t>
  </si>
  <si>
    <t>身体严重伤势</t>
  </si>
  <si>
    <t>项目</t>
  </si>
  <si>
    <t>人性值变化</t>
  </si>
  <si>
    <t>是否受伤</t>
  </si>
  <si>
    <t>2D6</t>
  </si>
  <si>
    <t>紧急处理</t>
  </si>
  <si>
    <t>治愈</t>
  </si>
  <si>
    <t>义体</t>
  </si>
  <si>
    <t>否</t>
  </si>
  <si>
    <t>断臂</t>
  </si>
  <si>
    <r>
      <rPr>
        <sz val="9"/>
        <color theme="1"/>
        <rFont val="宋体"/>
        <charset val="134"/>
      </rPr>
      <t>断掉的那只手臂，没了。那只手里拿着的任何东西都掉了。</t>
    </r>
    <r>
      <rPr>
        <b/>
        <sz val="9"/>
        <color theme="1"/>
        <rFont val="宋体"/>
        <charset val="134"/>
      </rPr>
      <t>基础死亡豁免惩罚减值 +1。</t>
    </r>
  </si>
  <si>
    <t>做不到</t>
  </si>
  <si>
    <t>手术DV17</t>
  </si>
  <si>
    <t>断手</t>
  </si>
  <si>
    <r>
      <rPr>
        <sz val="9"/>
        <color theme="1"/>
        <rFont val="宋体"/>
        <charset val="134"/>
      </rPr>
      <t>断掉的那只手，没了。那只手里拿着的任何东西都掉了。</t>
    </r>
    <r>
      <rPr>
        <b/>
        <sz val="9"/>
        <color theme="1"/>
        <rFont val="宋体"/>
        <charset val="134"/>
      </rPr>
      <t>基础死亡豁免惩罚减值 +1。</t>
    </r>
  </si>
  <si>
    <t>气胸</t>
  </si>
  <si>
    <r>
      <rPr>
        <sz val="9"/>
        <color theme="1"/>
        <rFont val="宋体"/>
        <charset val="134"/>
      </rPr>
      <t xml:space="preserve">移速属性 -2（最低 1），
</t>
    </r>
    <r>
      <rPr>
        <b/>
        <sz val="9"/>
        <color theme="1"/>
        <rFont val="宋体"/>
        <charset val="134"/>
      </rPr>
      <t>基础死亡豁免惩罚减值 +1。</t>
    </r>
  </si>
  <si>
    <t>强化急救DV15</t>
  </si>
  <si>
    <t>手术DV15</t>
  </si>
  <si>
    <t>肋骨骨折</t>
  </si>
  <si>
    <t>在每个你徒步行进了超过 4m 的回合后，你都要重新受到这个严重伤势的额外伤害，直接从生命值里扣除。</t>
  </si>
  <si>
    <t>强化急救DV13</t>
  </si>
  <si>
    <t>强化急救DV15/
手术DV13</t>
  </si>
  <si>
    <t>手臂骨折</t>
  </si>
  <si>
    <t>骨折的手臂无法再用来干别的事了，那只手里拿着的任何东西，都掉了。</t>
  </si>
  <si>
    <t>体内异物</t>
  </si>
  <si>
    <t>急救/强化急救DV13</t>
  </si>
  <si>
    <t>紧急处理可治愈</t>
  </si>
  <si>
    <t>药物状态</t>
  </si>
  <si>
    <t>小腿/大腿骨折</t>
  </si>
  <si>
    <t>移速属性 -4（最低 1）</t>
  </si>
  <si>
    <t>是否成瘾</t>
  </si>
  <si>
    <t>药物名称</t>
  </si>
  <si>
    <t>肌肉撕裂</t>
  </si>
  <si>
    <t>近战攻击判定 -2</t>
  </si>
  <si>
    <t>脊柱受伤</t>
  </si>
  <si>
    <r>
      <rPr>
        <sz val="9"/>
        <color theme="1"/>
        <rFont val="宋体"/>
        <charset val="134"/>
      </rPr>
      <t>在你的下个回合里你无法使用其他动作，但仍然可以进行移动动作。</t>
    </r>
    <r>
      <rPr>
        <b/>
        <sz val="9"/>
        <color theme="1"/>
        <rFont val="宋体"/>
        <charset val="134"/>
      </rPr>
      <t>基础死亡豁免惩罚减值 +1。</t>
    </r>
  </si>
  <si>
    <t>手指粉碎性骨折</t>
  </si>
  <si>
    <t>用到那只手的任何动作判定 -4</t>
  </si>
  <si>
    <t>断腿</t>
  </si>
  <si>
    <r>
      <rPr>
        <sz val="9"/>
        <color theme="1"/>
        <rFont val="宋体"/>
        <charset val="134"/>
      </rPr>
      <t>断掉的那条腿，没了。移速 -6（最低 1）。你无法闪避攻击。</t>
    </r>
    <r>
      <rPr>
        <b/>
        <sz val="9"/>
        <color theme="1"/>
        <rFont val="宋体"/>
        <charset val="134"/>
      </rPr>
      <t>基础死亡豁免惩罚减值 +1。</t>
    </r>
  </si>
  <si>
    <t>头部严重伤势</t>
  </si>
  <si>
    <t>失去眼睛</t>
  </si>
  <si>
    <r>
      <rPr>
        <sz val="9"/>
        <color theme="1"/>
        <rFont val="宋体"/>
        <charset val="134"/>
      </rPr>
      <t>你的一只眼睛不见了。远程攻击和所有需要视觉的觉察判定 -4。</t>
    </r>
    <r>
      <rPr>
        <b/>
        <sz val="9"/>
        <color theme="1"/>
        <rFont val="宋体"/>
        <charset val="134"/>
      </rPr>
      <t>基础死亡豁免惩罚减值 +1。</t>
    </r>
  </si>
  <si>
    <t>脑损伤</t>
  </si>
  <si>
    <r>
      <rPr>
        <sz val="9"/>
        <color theme="1"/>
        <rFont val="宋体"/>
        <charset val="134"/>
      </rPr>
      <t>所有动作判定 -2，</t>
    </r>
    <r>
      <rPr>
        <b/>
        <sz val="9"/>
        <color theme="1"/>
        <rFont val="宋体"/>
        <charset val="134"/>
      </rPr>
      <t>基础死亡豁免惩罚减值 +1。</t>
    </r>
  </si>
  <si>
    <t>眼睛受损</t>
  </si>
  <si>
    <t>远程攻击和所有需要视觉的觉察判定 -2。</t>
  </si>
  <si>
    <t>手术DV13</t>
  </si>
  <si>
    <t>脑震荡</t>
  </si>
  <si>
    <t>所有动作判定 -2。</t>
  </si>
  <si>
    <t>领骨骨折</t>
  </si>
  <si>
    <t>需要说话的所有动作判定 -4。</t>
  </si>
  <si>
    <t>头部异物</t>
  </si>
  <si>
    <t>在每个你徒步行进了超过 4m 的回合后，你都要重新
受到这个严重伤势的额外伤害，直接从生命值里扣除。</t>
  </si>
  <si>
    <t>挥鞭伤</t>
  </si>
  <si>
    <t>基础死亡豁免惩罚减值 +1。</t>
  </si>
  <si>
    <t>强化急救/
手术DV13</t>
  </si>
  <si>
    <t>颅骨骨裂</t>
  </si>
  <si>
    <r>
      <rPr>
        <sz val="9"/>
        <color theme="1"/>
        <rFont val="宋体"/>
        <charset val="134"/>
      </rPr>
      <t>瞄准你头部的瞄准射击造成的伤害在减去阻滞力之后倍数变为 3( 而不是 2)，</t>
    </r>
    <r>
      <rPr>
        <b/>
        <sz val="9"/>
        <color theme="1"/>
        <rFont val="宋体"/>
        <charset val="134"/>
      </rPr>
      <t>基础死亡豁免惩罚减值 +1。</t>
    </r>
  </si>
  <si>
    <t>强化急救/
手术DV15</t>
  </si>
  <si>
    <t>耳朵受损</t>
  </si>
  <si>
    <t>在每个你徒步行进了超过 4m 的回合后，下个回合将无法做出移动动作。所有需要听力的觉察判定 -2。</t>
  </si>
  <si>
    <t>气管破裂</t>
  </si>
  <si>
    <r>
      <rPr>
        <sz val="9"/>
        <color theme="1"/>
        <rFont val="宋体"/>
        <charset val="134"/>
      </rPr>
      <t>你说话只有含混的嘶嘶气声，无法说话。</t>
    </r>
    <r>
      <rPr>
        <b/>
        <sz val="9"/>
        <color theme="1"/>
        <rFont val="宋体"/>
        <charset val="134"/>
      </rPr>
      <t>基础死亡豁免惩罚减值 +1。</t>
    </r>
  </si>
  <si>
    <t>失去耳朵</t>
  </si>
  <si>
    <r>
      <rPr>
        <sz val="9"/>
        <color theme="1"/>
        <rFont val="宋体"/>
        <charset val="134"/>
      </rPr>
      <t>你的一只耳朵不见了。在每个你徒步行进了超过 4m的回合后，下个回合将无法做出移动动作。所有需要听力的觉察判定 -4，</t>
    </r>
    <r>
      <rPr>
        <b/>
        <sz val="9"/>
        <color theme="1"/>
        <rFont val="宋体"/>
        <charset val="134"/>
      </rPr>
      <t>基础死亡豁免惩罚减值 +1。</t>
    </r>
  </si>
  <si>
    <t>生命路径</t>
  </si>
  <si>
    <t>朋友</t>
  </si>
  <si>
    <t>精神病症状</t>
  </si>
  <si>
    <t>风格</t>
  </si>
  <si>
    <t>名字</t>
  </si>
  <si>
    <t>你们的关系</t>
  </si>
  <si>
    <t>详细描述</t>
  </si>
  <si>
    <t>文化区域</t>
  </si>
  <si>
    <t>性格</t>
  </si>
  <si>
    <t>发型</t>
  </si>
  <si>
    <t>衣着风格</t>
  </si>
  <si>
    <t>动机</t>
  </si>
  <si>
    <t>个性</t>
  </si>
  <si>
    <t>最看重</t>
  </si>
  <si>
    <t>最在乎</t>
  </si>
  <si>
    <t>观点</t>
  </si>
  <si>
    <t>宝物</t>
  </si>
  <si>
    <t>爱情</t>
  </si>
  <si>
    <t>目标</t>
  </si>
  <si>
    <t>家庭背景</t>
  </si>
  <si>
    <t>发生了什么</t>
  </si>
  <si>
    <t>同年环境</t>
  </si>
  <si>
    <t>家庭危机</t>
  </si>
  <si>
    <t>基于职业的生命路径</t>
  </si>
  <si>
    <t>人物背景故事</t>
  </si>
  <si>
    <t>敌人</t>
  </si>
  <si>
    <t>关系如何</t>
  </si>
  <si>
    <t>什么导致的</t>
  </si>
  <si>
    <t>他会怎么样来找你</t>
  </si>
  <si>
    <t>你打算怎么做</t>
  </si>
  <si>
    <t>I.P.统计</t>
  </si>
  <si>
    <t>此工作表不参与自动计算，为记录用。</t>
  </si>
  <si>
    <t>成长记录</t>
  </si>
  <si>
    <t>I.P.点</t>
  </si>
  <si>
    <t>时间</t>
  </si>
  <si>
    <t>模组</t>
  </si>
  <si>
    <t>获得声望</t>
  </si>
  <si>
    <t>获得资金</t>
  </si>
  <si>
    <t>获得物品</t>
  </si>
  <si>
    <t>人性事件</t>
  </si>
  <si>
    <t>人性增减</t>
  </si>
  <si>
    <t>资金来源</t>
  </si>
  <si>
    <t>物品来源</t>
  </si>
  <si>
    <t>重要的时刻</t>
  </si>
  <si>
    <t>已获得</t>
  </si>
  <si>
    <t>属性消耗</t>
  </si>
  <si>
    <t>技能消耗</t>
  </si>
  <si>
    <t>能力成长表</t>
  </si>
  <si>
    <t>职业能力</t>
  </si>
  <si>
    <t>初始等级</t>
  </si>
  <si>
    <t>成长等级</t>
  </si>
  <si>
    <t>已消耗I.P.</t>
  </si>
  <si>
    <t>魅力冲击</t>
  </si>
  <si>
    <t>战斗直觉</t>
  </si>
  <si>
    <t>交互界面</t>
  </si>
  <si>
    <t>能工巧匠</t>
  </si>
  <si>
    <t>医疗圣手</t>
  </si>
  <si>
    <t>公众信誉</t>
  </si>
  <si>
    <t>团队合作</t>
  </si>
  <si>
    <t>后备支援</t>
  </si>
  <si>
    <t>八面玲珑</t>
  </si>
  <si>
    <t>引擎之友</t>
  </si>
  <si>
    <t>技能成长表</t>
  </si>
  <si>
    <t>技能名称</t>
  </si>
  <si>
    <t>原始技能</t>
  </si>
  <si>
    <t>成长技能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</si>
</sst>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134"/>
    </font>
    <font>
      <sz val="11"/>
      <name val="宋体"/>
      <charset val="134"/>
    </font>
    <font>
      <sz val="11"/>
      <color theme="9" tint="-0.249977111117893"/>
      <name val="宋体"/>
      <charset val="134"/>
    </font>
    <font>
      <sz val="11"/>
      <color theme="2" tint="-0.749992370372631"/>
      <name val="宋体"/>
      <charset val="134"/>
    </font>
    <font>
      <sz val="11"/>
      <color theme="1" tint="0.149998474074526"/>
      <name val="宋体"/>
      <charset val="134"/>
    </font>
    <font>
      <sz val="9"/>
      <name val="宋体"/>
      <charset val="134"/>
    </font>
    <font>
      <sz val="9"/>
      <color theme="0"/>
      <name val="宋体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黑体"/>
      <charset val="134"/>
    </font>
    <font>
      <sz val="11"/>
      <color theme="1"/>
      <name val="Bernard MT Condensed"/>
      <charset val="134"/>
    </font>
    <font>
      <sz val="11"/>
      <color theme="9" tint="-0.499984740745262"/>
      <name val="黑体"/>
      <charset val="134"/>
    </font>
    <font>
      <sz val="10"/>
      <color theme="9" tint="-0.249977111117893"/>
      <name val="宋体"/>
      <charset val="134"/>
    </font>
    <font>
      <sz val="11"/>
      <color theme="1"/>
      <name val="Noto Sans CJK SC"/>
      <charset val="134"/>
    </font>
    <font>
      <sz val="10"/>
      <color theme="1"/>
      <name val="Noto Sans CJK SC"/>
      <charset val="134"/>
    </font>
    <font>
      <sz val="12"/>
      <color theme="1"/>
      <name val="黑体"/>
      <charset val="134"/>
    </font>
    <font>
      <sz val="8"/>
      <color theme="0"/>
      <name val="宋体"/>
      <charset val="134"/>
    </font>
    <font>
      <sz val="10"/>
      <color theme="0"/>
      <name val="宋体"/>
      <charset val="134"/>
    </font>
    <font>
      <sz val="8"/>
      <name val="宋体"/>
      <charset val="134"/>
    </font>
    <font>
      <sz val="11"/>
      <color theme="1" tint="0.249977111117893"/>
      <name val="宋体"/>
      <charset val="134"/>
    </font>
    <font>
      <sz val="9"/>
      <color theme="1" tint="0.249977111117893"/>
      <name val="宋体"/>
      <charset val="134"/>
    </font>
    <font>
      <sz val="9"/>
      <color theme="1" tint="0.149998474074526"/>
      <name val="宋体"/>
      <charset val="134"/>
    </font>
    <font>
      <sz val="10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499984740745262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4" borderId="5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0" borderId="51" applyNumberFormat="0" applyFill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5" borderId="53" applyNumberFormat="0" applyAlignment="0" applyProtection="0">
      <alignment vertical="center"/>
    </xf>
    <xf numFmtId="0" fontId="36" fillId="16" borderId="54" applyNumberFormat="0" applyAlignment="0" applyProtection="0">
      <alignment vertical="center"/>
    </xf>
    <xf numFmtId="0" fontId="37" fillId="16" borderId="53" applyNumberFormat="0" applyAlignment="0" applyProtection="0">
      <alignment vertical="center"/>
    </xf>
    <xf numFmtId="0" fontId="38" fillId="17" borderId="55" applyNumberFormat="0" applyAlignment="0" applyProtection="0">
      <alignment vertical="center"/>
    </xf>
    <xf numFmtId="0" fontId="39" fillId="0" borderId="56" applyNumberFormat="0" applyFill="0" applyAlignment="0" applyProtection="0">
      <alignment vertical="center"/>
    </xf>
    <xf numFmtId="0" fontId="40" fillId="0" borderId="57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3" borderId="0" xfId="0" applyFont="1" applyFill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5" borderId="3" xfId="0" applyFont="1" applyFill="1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3" borderId="0" xfId="0" applyFont="1" applyFill="1">
      <alignment vertical="center"/>
    </xf>
    <xf numFmtId="0" fontId="3" fillId="0" borderId="0" xfId="0" applyFont="1">
      <alignment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3" xfId="0" applyFont="1" applyFill="1" applyBorder="1">
      <alignment vertical="center"/>
    </xf>
    <xf numFmtId="0" fontId="3" fillId="5" borderId="14" xfId="0" applyFont="1" applyFill="1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3" fillId="0" borderId="3" xfId="0" applyFont="1" applyBorder="1">
      <alignment vertical="center"/>
    </xf>
    <xf numFmtId="0" fontId="1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10" xfId="0" applyFont="1" applyBorder="1">
      <alignment vertical="center"/>
    </xf>
    <xf numFmtId="0" fontId="2" fillId="0" borderId="3" xfId="0" applyFont="1" applyBorder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49" fontId="12" fillId="6" borderId="16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14" fillId="6" borderId="16" xfId="0" applyFont="1" applyFill="1" applyBorder="1" applyAlignment="1">
      <alignment vertical="center" wrapText="1"/>
    </xf>
    <xf numFmtId="0" fontId="2" fillId="4" borderId="17" xfId="0" applyFont="1" applyFill="1" applyBorder="1">
      <alignment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vertical="center" wrapText="1"/>
    </xf>
    <xf numFmtId="0" fontId="11" fillId="7" borderId="18" xfId="0" applyFont="1" applyFill="1" applyBorder="1">
      <alignment vertical="center"/>
    </xf>
    <xf numFmtId="0" fontId="11" fillId="7" borderId="15" xfId="0" applyFont="1" applyFill="1" applyBorder="1">
      <alignment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8" xfId="0" applyFont="1" applyFill="1" applyBorder="1">
      <alignment vertical="center"/>
    </xf>
    <xf numFmtId="0" fontId="1" fillId="7" borderId="15" xfId="0" applyFont="1" applyFill="1" applyBorder="1">
      <alignment vertical="center"/>
    </xf>
    <xf numFmtId="0" fontId="1" fillId="5" borderId="15" xfId="0" applyFont="1" applyFill="1" applyBorder="1">
      <alignment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>
      <alignment vertical="center"/>
    </xf>
    <xf numFmtId="0" fontId="1" fillId="7" borderId="19" xfId="0" applyFont="1" applyFill="1" applyBorder="1">
      <alignment vertical="center"/>
    </xf>
    <xf numFmtId="0" fontId="6" fillId="3" borderId="0" xfId="0" applyFont="1" applyFill="1" applyAlignment="1">
      <alignment horizontal="center" vertical="center" wrapText="1"/>
    </xf>
    <xf numFmtId="0" fontId="1" fillId="7" borderId="21" xfId="0" applyFont="1" applyFill="1" applyBorder="1" applyAlignment="1">
      <alignment horizontal="left" vertical="top" wrapText="1"/>
    </xf>
    <xf numFmtId="0" fontId="1" fillId="7" borderId="21" xfId="0" applyFont="1" applyFill="1" applyBorder="1" applyAlignment="1">
      <alignment horizontal="left" vertical="top"/>
    </xf>
    <xf numFmtId="0" fontId="1" fillId="7" borderId="22" xfId="0" applyFont="1" applyFill="1" applyBorder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1" fillId="5" borderId="22" xfId="0" applyFont="1" applyFill="1" applyBorder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horizontal="center" vertical="center" wrapText="1"/>
    </xf>
    <xf numFmtId="0" fontId="3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9" fillId="4" borderId="7" xfId="0" applyFont="1" applyFill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0" fontId="20" fillId="10" borderId="6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2" fillId="3" borderId="29" xfId="0" applyFont="1" applyFill="1" applyBorder="1">
      <alignment vertical="center"/>
    </xf>
    <xf numFmtId="0" fontId="20" fillId="10" borderId="17" xfId="0" applyFont="1" applyFill="1" applyBorder="1" applyAlignment="1">
      <alignment horizontal="left" vertical="center"/>
    </xf>
    <xf numFmtId="0" fontId="3" fillId="3" borderId="29" xfId="0" applyFont="1" applyFill="1" applyBorder="1">
      <alignment vertical="center"/>
    </xf>
    <xf numFmtId="0" fontId="20" fillId="10" borderId="25" xfId="0" applyFont="1" applyFill="1" applyBorder="1" applyAlignment="1">
      <alignment horizontal="left" vertical="center"/>
    </xf>
    <xf numFmtId="0" fontId="20" fillId="10" borderId="7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0" fillId="10" borderId="30" xfId="0" applyFont="1" applyFill="1" applyBorder="1" applyAlignment="1">
      <alignment horizontal="left" vertical="center"/>
    </xf>
    <xf numFmtId="0" fontId="20" fillId="10" borderId="5" xfId="0" applyFont="1" applyFill="1" applyBorder="1" applyAlignment="1">
      <alignment horizontal="left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2" fillId="4" borderId="4" xfId="0" applyFont="1" applyFill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20" fillId="2" borderId="1" xfId="0" applyFont="1" applyFill="1" applyBorder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20" fillId="12" borderId="0" xfId="0" applyFont="1" applyFill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9" fillId="4" borderId="1" xfId="0" applyFont="1" applyFill="1" applyBorder="1">
      <alignment vertical="center"/>
    </xf>
    <xf numFmtId="0" fontId="3" fillId="13" borderId="1" xfId="0" applyFont="1" applyFill="1" applyBorder="1" applyAlignment="1">
      <alignment horizontal="center" vertical="center"/>
    </xf>
    <xf numFmtId="0" fontId="21" fillId="3" borderId="0" xfId="0" applyFont="1" applyFill="1">
      <alignment vertical="center"/>
    </xf>
    <xf numFmtId="0" fontId="21" fillId="5" borderId="0" xfId="0" applyFont="1" applyFill="1">
      <alignment vertical="center"/>
    </xf>
    <xf numFmtId="0" fontId="2" fillId="4" borderId="5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12" borderId="1" xfId="0" applyFont="1" applyFill="1" applyBorder="1">
      <alignment vertical="center"/>
    </xf>
    <xf numFmtId="0" fontId="23" fillId="5" borderId="0" xfId="0" applyFont="1" applyFill="1">
      <alignment vertical="center"/>
    </xf>
    <xf numFmtId="0" fontId="24" fillId="3" borderId="0" xfId="0" applyFont="1" applyFill="1">
      <alignment vertical="center"/>
    </xf>
    <xf numFmtId="0" fontId="2" fillId="4" borderId="3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3" fillId="0" borderId="40" xfId="0" applyFont="1" applyBorder="1" applyAlignment="1">
      <alignment horizontal="center" vertical="center"/>
    </xf>
    <xf numFmtId="0" fontId="2" fillId="12" borderId="3" xfId="0" applyFont="1" applyFill="1" applyBorder="1">
      <alignment vertical="center"/>
    </xf>
    <xf numFmtId="0" fontId="3" fillId="5" borderId="15" xfId="0" applyFont="1" applyFill="1" applyBorder="1">
      <alignment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3" fillId="0" borderId="48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43" xfId="0" applyFont="1" applyFill="1" applyBorder="1" applyAlignment="1">
      <alignment horizontal="left" vertical="center"/>
    </xf>
    <xf numFmtId="0" fontId="3" fillId="0" borderId="49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bgColor theme="7" tint="0.599993896298105"/>
        </patternFill>
      </fill>
    </dxf>
    <dxf>
      <fill>
        <patternFill patternType="solid">
          <bgColor theme="5" tint="0.399975585192419"/>
        </patternFill>
      </fill>
    </dxf>
    <dxf>
      <font>
        <color theme="0"/>
      </font>
      <fill>
        <patternFill patternType="solid">
          <bgColor theme="9" tint="0.399975585192419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5" tint="0.399975585192419"/>
        </patternFill>
      </fill>
    </dxf>
    <dxf>
      <font>
        <color rgb="FFFF0000"/>
      </font>
      <fill>
        <patternFill patternType="solid">
          <bgColor theme="1"/>
        </patternFill>
      </fill>
    </dxf>
    <dxf>
      <font>
        <color theme="1" tint="0.249977111117893"/>
      </font>
      <fill>
        <patternFill patternType="solid">
          <bgColor theme="6" tint="0.39997558519241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00FE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"/>
  <sheetViews>
    <sheetView workbookViewId="0">
      <selection activeCell="L25" sqref="L25"/>
    </sheetView>
  </sheetViews>
  <sheetFormatPr defaultColWidth="8.86363636363636" defaultRowHeight="16.5"/>
  <cols>
    <col min="1" max="16384" width="8.86363636363636" style="217"/>
  </cols>
  <sheetData>
    <row r="1" spans="1:9">
      <c r="A1" s="217" t="s">
        <v>0</v>
      </c>
    </row>
    <row r="2" spans="1:9">
      <c r="A2" s="217" t="s">
        <v>1</v>
      </c>
      <c r="I2" s="217" t="s">
        <v>2</v>
      </c>
    </row>
    <row r="3" spans="1:9">
      <c r="A3" s="217" t="s">
        <v>3</v>
      </c>
    </row>
    <row r="5" spans="1:9">
      <c r="A5" s="217" t="s">
        <v>4</v>
      </c>
    </row>
    <row r="7" spans="1:9">
      <c r="A7" s="217" t="s">
        <v>5</v>
      </c>
    </row>
    <row r="8" spans="1:9">
      <c r="A8" s="217" t="s">
        <v>6</v>
      </c>
    </row>
    <row r="9" spans="1:9">
      <c r="A9" s="217" t="s">
        <v>7</v>
      </c>
    </row>
    <row r="11" spans="1:9">
      <c r="A11" s="217" t="s">
        <v>8</v>
      </c>
    </row>
    <row r="13" spans="1:9">
      <c r="A13" s="217" t="s">
        <v>9</v>
      </c>
    </row>
    <row r="15" spans="1:9">
      <c r="A15" s="217" t="s">
        <v>10</v>
      </c>
    </row>
    <row r="16" spans="1:9">
      <c r="A16" s="217" t="s">
        <v>11</v>
      </c>
    </row>
    <row r="17" spans="1:4">
      <c r="A17" s="217" t="s">
        <v>12</v>
      </c>
    </row>
    <row r="19" spans="1:4">
      <c r="A19" s="217" t="s">
        <v>13</v>
      </c>
      <c r="B19" s="218" t="s">
        <v>14</v>
      </c>
      <c r="C19" s="218"/>
      <c r="D19" s="217" t="s">
        <v>15</v>
      </c>
    </row>
    <row r="20" spans="1:4">
      <c r="A20" s="217" t="s">
        <v>16</v>
      </c>
      <c r="C20" s="217" t="s">
        <v>17</v>
      </c>
    </row>
    <row r="22" spans="1:4">
      <c r="A22" s="217" t="s">
        <v>18</v>
      </c>
    </row>
    <row r="24" spans="1:4">
      <c r="A24" s="217" t="s">
        <v>19</v>
      </c>
    </row>
    <row r="26" spans="1:4">
      <c r="A26" s="217" t="s">
        <v>20</v>
      </c>
    </row>
    <row r="27" spans="1:4">
      <c r="A27" s="217" t="s">
        <v>21</v>
      </c>
    </row>
  </sheetData>
  <mergeCells count="1">
    <mergeCell ref="B19:C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M47"/>
  <sheetViews>
    <sheetView tabSelected="1" topLeftCell="A4" workbookViewId="0">
      <selection activeCell="P12" sqref="P12:P13"/>
    </sheetView>
  </sheetViews>
  <sheetFormatPr defaultColWidth="8.86363636363636" defaultRowHeight="14"/>
  <cols>
    <col min="1" max="1" width="8.86363636363636" style="34"/>
    <col min="2" max="2" width="1.8" style="34" customWidth="1"/>
    <col min="3" max="3" width="6.8" style="34" customWidth="1"/>
    <col min="4" max="4" width="8.86363636363636" style="34"/>
    <col min="5" max="5" width="6.8" style="34" customWidth="1"/>
    <col min="6" max="6" width="8.86363636363636" style="34"/>
    <col min="7" max="7" width="1.8" style="34" customWidth="1"/>
    <col min="8" max="8" width="4.8" style="34" customWidth="1"/>
    <col min="9" max="9" width="1.8" style="34" customWidth="1"/>
    <col min="10" max="10" width="6.8" style="34" customWidth="1"/>
    <col min="11" max="11" width="4.8" style="34" customWidth="1"/>
    <col min="12" max="12" width="2.8" style="34" customWidth="1"/>
    <col min="13" max="14" width="1.8" style="34" customWidth="1"/>
    <col min="15" max="15" width="6.8" style="34" customWidth="1"/>
    <col min="16" max="16" width="4.8" style="34" customWidth="1"/>
    <col min="17" max="17" width="1.8" style="34" customWidth="1"/>
    <col min="18" max="18" width="4.8" style="34" customWidth="1"/>
    <col min="19" max="19" width="1.8" style="34" customWidth="1"/>
    <col min="20" max="20" width="3.8" style="34" customWidth="1"/>
    <col min="21" max="21" width="7.8" style="34" customWidth="1"/>
    <col min="22" max="24" width="6.8" style="34" customWidth="1"/>
    <col min="25" max="25" width="1.8" style="34" customWidth="1"/>
    <col min="26" max="26" width="3.8" style="34" customWidth="1"/>
    <col min="27" max="27" width="7.8" style="34" customWidth="1"/>
    <col min="28" max="28" width="6.8" style="34" customWidth="1"/>
    <col min="29" max="29" width="3.8" style="34" customWidth="1"/>
    <col min="30" max="30" width="1.8" style="34" customWidth="1"/>
    <col min="31" max="31" width="6.8" style="34" customWidth="1"/>
    <col min="32" max="32" width="1.8" style="34" customWidth="1"/>
    <col min="33" max="33" width="3.8" style="34" customWidth="1"/>
    <col min="34" max="34" width="7.8" style="34" customWidth="1"/>
    <col min="35" max="37" width="6.8" style="34" customWidth="1"/>
    <col min="38" max="38" width="1.8" style="34" customWidth="1"/>
    <col min="39" max="16384" width="8.86363636363636" style="34"/>
  </cols>
  <sheetData>
    <row r="1" spans="1:39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>
      <c r="A2" s="115"/>
      <c r="B2" s="2" t="s">
        <v>22</v>
      </c>
      <c r="C2" s="3"/>
      <c r="D2" s="3"/>
      <c r="E2" s="115"/>
      <c r="F2" s="115"/>
      <c r="G2" s="115"/>
      <c r="H2" s="115"/>
      <c r="I2" s="2" t="s">
        <v>23</v>
      </c>
      <c r="J2" s="3"/>
      <c r="K2" s="3"/>
      <c r="L2" s="115"/>
      <c r="M2" s="116"/>
      <c r="N2" s="2" t="s">
        <v>24</v>
      </c>
      <c r="O2" s="3"/>
      <c r="P2" s="3"/>
      <c r="Q2" s="115"/>
      <c r="R2" s="115"/>
      <c r="S2" s="2" t="s">
        <v>25</v>
      </c>
      <c r="T2" s="3"/>
      <c r="U2" s="3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ht="10.05" customHeight="1" spans="1:39">
      <c r="A3" s="115"/>
      <c r="B3" s="33"/>
      <c r="C3" s="33"/>
      <c r="D3" s="33"/>
      <c r="E3" s="33"/>
      <c r="F3" s="33"/>
      <c r="G3" s="33"/>
      <c r="H3" s="115"/>
      <c r="I3" s="33"/>
      <c r="J3" s="33"/>
      <c r="K3" s="33"/>
      <c r="L3" s="33"/>
      <c r="M3" s="115"/>
      <c r="N3" s="33"/>
      <c r="O3" s="33"/>
      <c r="P3" s="33"/>
      <c r="Q3" s="33"/>
      <c r="R3" s="115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115"/>
    </row>
    <row r="4" spans="1:39">
      <c r="A4" s="115"/>
      <c r="B4" s="117"/>
      <c r="C4" s="118" t="e">
        <v>#VALUE!</v>
      </c>
      <c r="D4" s="118"/>
      <c r="E4" s="118"/>
      <c r="F4" s="118"/>
      <c r="G4" s="33"/>
      <c r="H4" s="115"/>
      <c r="I4" s="33"/>
      <c r="J4" s="119" t="s">
        <v>26</v>
      </c>
      <c r="K4" s="120"/>
      <c r="L4" s="33"/>
      <c r="M4" s="115"/>
      <c r="N4" s="33"/>
      <c r="O4" s="121"/>
      <c r="P4" s="120"/>
      <c r="Q4" s="33"/>
      <c r="R4" s="115"/>
      <c r="S4" s="33"/>
      <c r="T4" s="7" t="s">
        <v>27</v>
      </c>
      <c r="U4" s="7"/>
      <c r="V4" s="19" t="s">
        <v>28</v>
      </c>
      <c r="W4" s="19" t="s">
        <v>29</v>
      </c>
      <c r="X4" s="122" t="s">
        <v>30</v>
      </c>
      <c r="Y4" s="123"/>
      <c r="Z4" s="124" t="s">
        <v>31</v>
      </c>
      <c r="AA4" s="7"/>
      <c r="AB4" s="19" t="s">
        <v>28</v>
      </c>
      <c r="AC4" s="106" t="s">
        <v>29</v>
      </c>
      <c r="AD4" s="125"/>
      <c r="AE4" s="122" t="s">
        <v>30</v>
      </c>
      <c r="AF4" s="123"/>
      <c r="AG4" s="124" t="s">
        <v>32</v>
      </c>
      <c r="AH4" s="7"/>
      <c r="AI4" s="19" t="s">
        <v>28</v>
      </c>
      <c r="AJ4" s="19" t="s">
        <v>29</v>
      </c>
      <c r="AK4" s="126" t="s">
        <v>30</v>
      </c>
      <c r="AL4" s="33"/>
      <c r="AM4" s="115"/>
    </row>
    <row r="5" spans="1:39">
      <c r="A5" s="115"/>
      <c r="B5" s="117"/>
      <c r="C5" s="118"/>
      <c r="D5" s="118"/>
      <c r="E5" s="118"/>
      <c r="F5" s="118"/>
      <c r="G5" s="33"/>
      <c r="H5" s="115"/>
      <c r="I5" s="33"/>
      <c r="J5" s="119"/>
      <c r="K5" s="127"/>
      <c r="L5" s="33"/>
      <c r="M5" s="115"/>
      <c r="N5" s="33"/>
      <c r="O5" s="121"/>
      <c r="P5" s="127"/>
      <c r="Q5" s="33"/>
      <c r="R5" s="115"/>
      <c r="S5" s="23"/>
      <c r="T5" s="128" t="s">
        <v>33</v>
      </c>
      <c r="U5" s="129"/>
      <c r="V5" s="130"/>
      <c r="W5" s="131"/>
      <c r="X5" s="44">
        <f>V5+W5+$P$14</f>
        <v>0</v>
      </c>
      <c r="Y5" s="132"/>
      <c r="Z5" s="133" t="s">
        <v>34</v>
      </c>
      <c r="AA5" s="129"/>
      <c r="AB5" s="118"/>
      <c r="AC5" s="118"/>
      <c r="AD5" s="118"/>
      <c r="AE5" s="44">
        <f t="shared" ref="AE5:AE26" si="0">AC5+AB5+$P$4</f>
        <v>0</v>
      </c>
      <c r="AF5" s="134"/>
      <c r="AG5" s="133" t="s">
        <v>35</v>
      </c>
      <c r="AH5" s="129"/>
      <c r="AI5" s="118"/>
      <c r="AJ5" s="131"/>
      <c r="AK5" s="44">
        <f>AI5+AJ5+$P$8</f>
        <v>0</v>
      </c>
      <c r="AL5" s="33"/>
      <c r="AM5" s="115"/>
    </row>
    <row r="6" spans="1:39">
      <c r="A6" s="115"/>
      <c r="B6" s="117"/>
      <c r="C6" s="118"/>
      <c r="D6" s="118"/>
      <c r="E6" s="118"/>
      <c r="F6" s="118"/>
      <c r="G6" s="33"/>
      <c r="H6" s="115"/>
      <c r="I6" s="33"/>
      <c r="J6" s="119" t="s">
        <v>36</v>
      </c>
      <c r="K6" s="120"/>
      <c r="L6" s="33"/>
      <c r="M6" s="115"/>
      <c r="N6" s="33"/>
      <c r="O6" s="121"/>
      <c r="P6" s="120"/>
      <c r="Q6" s="33"/>
      <c r="R6" s="115"/>
      <c r="S6" s="33"/>
      <c r="T6" s="128" t="s">
        <v>37</v>
      </c>
      <c r="U6" s="129"/>
      <c r="V6" s="118"/>
      <c r="W6" s="118"/>
      <c r="X6" s="44">
        <f>V6+W6+$P$4</f>
        <v>0</v>
      </c>
      <c r="Y6" s="134"/>
      <c r="Z6" s="133" t="s">
        <v>38</v>
      </c>
      <c r="AA6" s="129"/>
      <c r="AB6" s="118"/>
      <c r="AC6" s="118"/>
      <c r="AD6" s="118"/>
      <c r="AE6" s="44">
        <f t="shared" si="0"/>
        <v>0</v>
      </c>
      <c r="AF6" s="134"/>
      <c r="AG6" s="135" t="s">
        <v>39</v>
      </c>
      <c r="AH6" s="136"/>
      <c r="AI6" s="118"/>
      <c r="AJ6" s="131"/>
      <c r="AK6" s="44">
        <f>AI6+AJ6+$P$8</f>
        <v>0</v>
      </c>
      <c r="AL6" s="33"/>
      <c r="AM6" s="115"/>
    </row>
    <row r="7" spans="1:39">
      <c r="A7" s="115"/>
      <c r="B7" s="117"/>
      <c r="C7" s="118"/>
      <c r="D7" s="118"/>
      <c r="E7" s="118"/>
      <c r="F7" s="118"/>
      <c r="G7" s="33"/>
      <c r="H7" s="115"/>
      <c r="I7" s="33"/>
      <c r="J7" s="119"/>
      <c r="K7" s="127"/>
      <c r="L7" s="33"/>
      <c r="M7" s="115"/>
      <c r="N7" s="33"/>
      <c r="O7" s="121"/>
      <c r="P7" s="127"/>
      <c r="Q7" s="33"/>
      <c r="R7" s="115"/>
      <c r="S7" s="33"/>
      <c r="T7" s="128" t="s">
        <v>40</v>
      </c>
      <c r="U7" s="129"/>
      <c r="V7" s="118"/>
      <c r="W7" s="118"/>
      <c r="X7" s="44">
        <f>V7+W7+$P$4</f>
        <v>0</v>
      </c>
      <c r="Y7" s="134"/>
      <c r="Z7" s="133" t="s">
        <v>41</v>
      </c>
      <c r="AA7" s="129"/>
      <c r="AB7" s="118"/>
      <c r="AC7" s="118"/>
      <c r="AD7" s="118"/>
      <c r="AE7" s="44">
        <f t="shared" si="0"/>
        <v>0</v>
      </c>
      <c r="AF7" s="33"/>
      <c r="AG7" s="137" t="s">
        <v>42</v>
      </c>
      <c r="AH7" s="138" t="s">
        <v>43</v>
      </c>
      <c r="AI7" s="139"/>
      <c r="AJ7" s="118"/>
      <c r="AK7" s="44">
        <f>AI7+ROUNDDOWN(AJ7/2,0)+$P$8</f>
        <v>0</v>
      </c>
      <c r="AL7" s="33"/>
      <c r="AM7" s="115"/>
    </row>
    <row r="8" spans="1:39">
      <c r="A8" s="115"/>
      <c r="B8" s="117"/>
      <c r="C8" s="118"/>
      <c r="D8" s="118"/>
      <c r="E8" s="118"/>
      <c r="F8" s="118"/>
      <c r="G8" s="33"/>
      <c r="H8" s="115"/>
      <c r="I8" s="33"/>
      <c r="J8" s="119" t="s">
        <v>44</v>
      </c>
      <c r="K8" s="120"/>
      <c r="L8" s="33"/>
      <c r="M8" s="115"/>
      <c r="N8" s="33"/>
      <c r="O8" s="121"/>
      <c r="P8" s="120"/>
      <c r="Q8" s="33"/>
      <c r="R8" s="115"/>
      <c r="S8" s="33"/>
      <c r="T8" s="128" t="s">
        <v>45</v>
      </c>
      <c r="U8" s="129"/>
      <c r="V8" s="118"/>
      <c r="W8" s="131"/>
      <c r="X8" s="44">
        <f>V8+W8+$P$4</f>
        <v>0</v>
      </c>
      <c r="Y8" s="134"/>
      <c r="Z8" s="133" t="s">
        <v>46</v>
      </c>
      <c r="AA8" s="129"/>
      <c r="AB8" s="118"/>
      <c r="AC8" s="118"/>
      <c r="AD8" s="118"/>
      <c r="AE8" s="44">
        <f t="shared" si="0"/>
        <v>0</v>
      </c>
      <c r="AF8" s="134"/>
      <c r="AG8" s="140" t="s">
        <v>47</v>
      </c>
      <c r="AH8" s="141"/>
      <c r="AI8" s="118"/>
      <c r="AJ8" s="118"/>
      <c r="AK8" s="44">
        <f>AI8+AJ8+$P$8</f>
        <v>0</v>
      </c>
      <c r="AL8" s="33"/>
      <c r="AM8" s="115"/>
    </row>
    <row r="9" spans="1:39">
      <c r="A9" s="115"/>
      <c r="B9" s="117"/>
      <c r="C9" s="118"/>
      <c r="D9" s="118"/>
      <c r="E9" s="118"/>
      <c r="F9" s="118"/>
      <c r="G9" s="33"/>
      <c r="H9" s="115"/>
      <c r="I9" s="33"/>
      <c r="J9" s="119"/>
      <c r="K9" s="127"/>
      <c r="L9" s="33"/>
      <c r="M9" s="115"/>
      <c r="N9" s="33"/>
      <c r="O9" s="121"/>
      <c r="P9" s="127"/>
      <c r="Q9" s="33"/>
      <c r="R9" s="115"/>
      <c r="S9" s="33"/>
      <c r="T9" s="128" t="s">
        <v>48</v>
      </c>
      <c r="U9" s="129"/>
      <c r="V9" s="118"/>
      <c r="W9" s="118"/>
      <c r="X9" s="44">
        <f>V9+W9+$P$4</f>
        <v>0</v>
      </c>
      <c r="Y9" s="134"/>
      <c r="Z9" s="133" t="s">
        <v>49</v>
      </c>
      <c r="AA9" s="129"/>
      <c r="AB9" s="118"/>
      <c r="AC9" s="118"/>
      <c r="AD9" s="118"/>
      <c r="AE9" s="44">
        <f t="shared" si="0"/>
        <v>0</v>
      </c>
      <c r="AF9" s="134"/>
      <c r="AG9" s="142" t="s">
        <v>50</v>
      </c>
      <c r="AH9" s="143"/>
      <c r="AI9" s="17" t="s">
        <v>28</v>
      </c>
      <c r="AJ9" s="17" t="s">
        <v>29</v>
      </c>
      <c r="AK9" s="144" t="s">
        <v>30</v>
      </c>
      <c r="AL9" s="33"/>
      <c r="AM9" s="115"/>
    </row>
    <row r="10" spans="1:39">
      <c r="A10" s="115"/>
      <c r="B10" s="117"/>
      <c r="C10" s="118"/>
      <c r="D10" s="118"/>
      <c r="E10" s="118"/>
      <c r="F10" s="118"/>
      <c r="G10" s="33"/>
      <c r="H10" s="115"/>
      <c r="I10" s="33"/>
      <c r="J10" s="119" t="s">
        <v>51</v>
      </c>
      <c r="K10" s="120"/>
      <c r="L10" s="33"/>
      <c r="M10" s="115"/>
      <c r="N10" s="33"/>
      <c r="O10" s="121"/>
      <c r="P10" s="120"/>
      <c r="Q10" s="33"/>
      <c r="R10" s="115"/>
      <c r="S10" s="33"/>
      <c r="T10" s="7" t="s">
        <v>52</v>
      </c>
      <c r="U10" s="7"/>
      <c r="V10" s="17" t="s">
        <v>28</v>
      </c>
      <c r="W10" s="17" t="s">
        <v>29</v>
      </c>
      <c r="X10" s="145" t="s">
        <v>30</v>
      </c>
      <c r="Y10" s="123"/>
      <c r="Z10" s="133" t="s">
        <v>53</v>
      </c>
      <c r="AA10" s="129"/>
      <c r="AB10" s="118"/>
      <c r="AC10" s="118"/>
      <c r="AD10" s="118"/>
      <c r="AE10" s="44">
        <f t="shared" si="0"/>
        <v>0</v>
      </c>
      <c r="AF10" s="134"/>
      <c r="AG10" s="133" t="s">
        <v>54</v>
      </c>
      <c r="AH10" s="129"/>
      <c r="AI10" s="118"/>
      <c r="AJ10" s="118"/>
      <c r="AK10" s="44">
        <f>AI10+AJ10+$P$6</f>
        <v>0</v>
      </c>
      <c r="AL10" s="33"/>
      <c r="AM10" s="115"/>
    </row>
    <row r="11" spans="1:39">
      <c r="A11" s="115"/>
      <c r="B11" s="117"/>
      <c r="C11" s="118"/>
      <c r="D11" s="118"/>
      <c r="E11" s="118"/>
      <c r="F11" s="118"/>
      <c r="G11" s="33"/>
      <c r="H11" s="115"/>
      <c r="I11" s="33"/>
      <c r="J11" s="119"/>
      <c r="K11" s="127"/>
      <c r="L11" s="33"/>
      <c r="M11" s="115"/>
      <c r="N11" s="33"/>
      <c r="O11" s="121"/>
      <c r="P11" s="127"/>
      <c r="Q11" s="33"/>
      <c r="R11" s="115"/>
      <c r="S11" s="33"/>
      <c r="T11" s="128" t="s">
        <v>55</v>
      </c>
      <c r="U11" s="129"/>
      <c r="V11" s="118"/>
      <c r="W11" s="131"/>
      <c r="X11" s="44">
        <f t="shared" ref="X11:X16" si="1">V11+W11+$P$8</f>
        <v>0</v>
      </c>
      <c r="Y11" s="134"/>
      <c r="Z11" s="133" t="s">
        <v>56</v>
      </c>
      <c r="AA11" s="129"/>
      <c r="AB11" s="118"/>
      <c r="AC11" s="118"/>
      <c r="AD11" s="118"/>
      <c r="AE11" s="44">
        <f t="shared" si="0"/>
        <v>0</v>
      </c>
      <c r="AF11" s="134"/>
      <c r="AG11" s="146" t="s">
        <v>57</v>
      </c>
      <c r="AH11" s="137"/>
      <c r="AI11" s="118"/>
      <c r="AJ11" s="118"/>
      <c r="AK11" s="44">
        <f>AI11+ROUNDDOWN(AJ11/2,0)+$P$6</f>
        <v>0</v>
      </c>
      <c r="AL11" s="33"/>
      <c r="AM11" s="115"/>
    </row>
    <row r="12" spans="1:39">
      <c r="A12" s="115"/>
      <c r="B12" s="117"/>
      <c r="C12" s="118"/>
      <c r="D12" s="118"/>
      <c r="E12" s="118"/>
      <c r="F12" s="118"/>
      <c r="G12" s="33"/>
      <c r="H12" s="115"/>
      <c r="I12" s="33"/>
      <c r="J12" s="119" t="s">
        <v>58</v>
      </c>
      <c r="K12" s="120"/>
      <c r="L12" s="33"/>
      <c r="M12" s="115"/>
      <c r="N12" s="33"/>
      <c r="O12" s="121"/>
      <c r="P12" s="120"/>
      <c r="Q12" s="33"/>
      <c r="R12" s="115"/>
      <c r="S12" s="33"/>
      <c r="T12" s="128" t="s">
        <v>59</v>
      </c>
      <c r="U12" s="129"/>
      <c r="V12" s="118"/>
      <c r="W12" s="118"/>
      <c r="X12" s="44">
        <f t="shared" si="1"/>
        <v>0</v>
      </c>
      <c r="Y12" s="134"/>
      <c r="Z12" s="133" t="s">
        <v>60</v>
      </c>
      <c r="AA12" s="129"/>
      <c r="AB12" s="118"/>
      <c r="AC12" s="118"/>
      <c r="AD12" s="118"/>
      <c r="AE12" s="44">
        <f t="shared" si="0"/>
        <v>0</v>
      </c>
      <c r="AF12" s="134"/>
      <c r="AG12" s="133" t="s">
        <v>61</v>
      </c>
      <c r="AH12" s="129"/>
      <c r="AI12" s="118"/>
      <c r="AJ12" s="118"/>
      <c r="AK12" s="44">
        <f>AI12+AJ12+$P$6</f>
        <v>0</v>
      </c>
      <c r="AL12" s="33"/>
      <c r="AM12" s="115"/>
    </row>
    <row r="13" spans="1:39">
      <c r="A13" s="115"/>
      <c r="B13" s="117"/>
      <c r="C13" s="118"/>
      <c r="D13" s="118"/>
      <c r="E13" s="118"/>
      <c r="F13" s="118"/>
      <c r="G13" s="33"/>
      <c r="H13" s="115"/>
      <c r="I13" s="33"/>
      <c r="J13" s="119"/>
      <c r="K13" s="127"/>
      <c r="L13" s="33"/>
      <c r="M13" s="115"/>
      <c r="N13" s="33"/>
      <c r="O13" s="121"/>
      <c r="P13" s="127"/>
      <c r="Q13" s="33"/>
      <c r="R13" s="115"/>
      <c r="S13" s="33"/>
      <c r="T13" s="128" t="s">
        <v>62</v>
      </c>
      <c r="U13" s="129"/>
      <c r="V13" s="118"/>
      <c r="W13" s="118"/>
      <c r="X13" s="44">
        <f t="shared" si="1"/>
        <v>0</v>
      </c>
      <c r="Y13" s="134"/>
      <c r="Z13" s="133" t="s">
        <v>63</v>
      </c>
      <c r="AA13" s="129"/>
      <c r="AB13" s="118"/>
      <c r="AC13" s="131"/>
      <c r="AD13" s="131"/>
      <c r="AE13" s="44">
        <f t="shared" si="0"/>
        <v>0</v>
      </c>
      <c r="AF13" s="134"/>
      <c r="AG13" s="146" t="s">
        <v>64</v>
      </c>
      <c r="AH13" s="137"/>
      <c r="AI13" s="118"/>
      <c r="AJ13" s="118"/>
      <c r="AK13" s="44">
        <f>AI13+ROUNDDOWN(AJ13/2,0)+$P$6</f>
        <v>0</v>
      </c>
      <c r="AL13" s="33"/>
      <c r="AM13" s="115"/>
    </row>
    <row r="14" spans="1:39">
      <c r="A14" s="115"/>
      <c r="B14" s="117"/>
      <c r="C14" s="147"/>
      <c r="D14" s="147"/>
      <c r="E14" s="147"/>
      <c r="F14" s="147"/>
      <c r="G14" s="33"/>
      <c r="H14" s="115"/>
      <c r="I14" s="33"/>
      <c r="J14" s="119" t="s">
        <v>65</v>
      </c>
      <c r="K14" s="120"/>
      <c r="L14" s="33"/>
      <c r="M14" s="115"/>
      <c r="N14" s="33"/>
      <c r="O14" s="121"/>
      <c r="P14" s="120"/>
      <c r="Q14" s="33"/>
      <c r="R14" s="115"/>
      <c r="S14" s="33"/>
      <c r="T14" s="128" t="s">
        <v>66</v>
      </c>
      <c r="U14" s="129"/>
      <c r="V14" s="118"/>
      <c r="W14" s="118"/>
      <c r="X14" s="44">
        <f>V14+W14+$P$14</f>
        <v>0</v>
      </c>
      <c r="Y14" s="134"/>
      <c r="Z14" s="133" t="s">
        <v>67</v>
      </c>
      <c r="AA14" s="129"/>
      <c r="AB14" s="118"/>
      <c r="AC14" s="118"/>
      <c r="AD14" s="118"/>
      <c r="AE14" s="44">
        <f t="shared" si="0"/>
        <v>0</v>
      </c>
      <c r="AF14" s="134"/>
      <c r="AG14" s="133" t="s">
        <v>68</v>
      </c>
      <c r="AH14" s="129"/>
      <c r="AI14" s="118"/>
      <c r="AJ14" s="118"/>
      <c r="AK14" s="44">
        <f>AI14+AJ14+$P$6</f>
        <v>0</v>
      </c>
      <c r="AL14" s="33"/>
      <c r="AM14" s="115"/>
    </row>
    <row r="15" spans="1:39">
      <c r="A15" s="115"/>
      <c r="B15" s="33"/>
      <c r="C15" s="7" t="s">
        <v>69</v>
      </c>
      <c r="D15" s="7"/>
      <c r="E15" s="7"/>
      <c r="F15" s="7"/>
      <c r="G15" s="33"/>
      <c r="H15" s="115"/>
      <c r="I15" s="33"/>
      <c r="J15" s="119"/>
      <c r="K15" s="127"/>
      <c r="L15" s="33"/>
      <c r="M15" s="115"/>
      <c r="N15" s="33"/>
      <c r="O15" s="121"/>
      <c r="P15" s="127"/>
      <c r="Q15" s="33"/>
      <c r="R15" s="115"/>
      <c r="S15" s="33"/>
      <c r="T15" s="128" t="s">
        <v>70</v>
      </c>
      <c r="U15" s="129"/>
      <c r="V15" s="118"/>
      <c r="W15" s="118"/>
      <c r="X15" s="44">
        <f>V15+W15+$P$14</f>
        <v>0</v>
      </c>
      <c r="Y15" s="134"/>
      <c r="Z15" s="133" t="s">
        <v>71</v>
      </c>
      <c r="AA15" s="129"/>
      <c r="AB15" s="118"/>
      <c r="AC15" s="118"/>
      <c r="AD15" s="118"/>
      <c r="AE15" s="44">
        <f t="shared" si="0"/>
        <v>0</v>
      </c>
      <c r="AF15" s="134"/>
      <c r="AG15" s="124" t="s">
        <v>72</v>
      </c>
      <c r="AH15" s="7"/>
      <c r="AI15" s="17" t="s">
        <v>28</v>
      </c>
      <c r="AJ15" s="17" t="s">
        <v>29</v>
      </c>
      <c r="AK15" s="144" t="s">
        <v>30</v>
      </c>
      <c r="AL15" s="33"/>
      <c r="AM15" s="115"/>
    </row>
    <row r="16" spans="1:39">
      <c r="A16" s="115"/>
      <c r="B16" s="33"/>
      <c r="C16" s="148" t="s">
        <v>73</v>
      </c>
      <c r="D16" s="149"/>
      <c r="E16" s="150"/>
      <c r="F16" s="150"/>
      <c r="G16" s="33"/>
      <c r="H16" s="115"/>
      <c r="I16" s="33"/>
      <c r="J16" s="119" t="s">
        <v>74</v>
      </c>
      <c r="K16" s="120"/>
      <c r="L16" s="23"/>
      <c r="M16" s="115"/>
      <c r="N16" s="33"/>
      <c r="O16" s="121"/>
      <c r="P16" s="120"/>
      <c r="Q16" s="23"/>
      <c r="R16" s="115"/>
      <c r="S16" s="33"/>
      <c r="T16" s="128" t="s">
        <v>75</v>
      </c>
      <c r="U16" s="129"/>
      <c r="V16" s="118"/>
      <c r="W16" s="131"/>
      <c r="X16" s="44">
        <f t="shared" si="1"/>
        <v>0</v>
      </c>
      <c r="Y16" s="134"/>
      <c r="Z16" s="133" t="s">
        <v>76</v>
      </c>
      <c r="AA16" s="129"/>
      <c r="AB16" s="118"/>
      <c r="AC16" s="118"/>
      <c r="AD16" s="118"/>
      <c r="AE16" s="44">
        <f t="shared" si="0"/>
        <v>0</v>
      </c>
      <c r="AF16" s="134"/>
      <c r="AG16" s="133" t="s">
        <v>77</v>
      </c>
      <c r="AH16" s="129"/>
      <c r="AI16" s="118"/>
      <c r="AJ16" s="118"/>
      <c r="AK16" s="44">
        <f>AI16+AJ16+$P$12</f>
        <v>0</v>
      </c>
      <c r="AL16" s="33"/>
      <c r="AM16" s="115"/>
    </row>
    <row r="17" spans="1:39">
      <c r="A17" s="115"/>
      <c r="B17" s="33"/>
      <c r="C17" s="13" t="s">
        <v>78</v>
      </c>
      <c r="D17" s="139"/>
      <c r="E17" s="118"/>
      <c r="F17" s="118"/>
      <c r="G17" s="33"/>
      <c r="H17" s="115"/>
      <c r="I17" s="33"/>
      <c r="J17" s="119"/>
      <c r="K17" s="127"/>
      <c r="L17" s="23"/>
      <c r="M17" s="115"/>
      <c r="N17" s="33"/>
      <c r="O17" s="121"/>
      <c r="P17" s="127"/>
      <c r="Q17" s="23"/>
      <c r="R17" s="115"/>
      <c r="S17" s="33"/>
      <c r="T17" s="7" t="s">
        <v>79</v>
      </c>
      <c r="U17" s="7"/>
      <c r="V17" s="17" t="s">
        <v>28</v>
      </c>
      <c r="W17" s="17" t="s">
        <v>29</v>
      </c>
      <c r="X17" s="145" t="s">
        <v>30</v>
      </c>
      <c r="Y17" s="123"/>
      <c r="Z17" s="133" t="s">
        <v>80</v>
      </c>
      <c r="AA17" s="129"/>
      <c r="AB17" s="118"/>
      <c r="AC17" s="118"/>
      <c r="AD17" s="118"/>
      <c r="AE17" s="44">
        <f t="shared" si="0"/>
        <v>0</v>
      </c>
      <c r="AF17" s="134"/>
      <c r="AG17" s="133" t="s">
        <v>81</v>
      </c>
      <c r="AH17" s="129"/>
      <c r="AI17" s="118"/>
      <c r="AJ17" s="131"/>
      <c r="AK17" s="44">
        <f>AI17+AJ17+$P$22</f>
        <v>0</v>
      </c>
      <c r="AL17" s="33"/>
      <c r="AM17" s="115"/>
    </row>
    <row r="18" spans="1:39">
      <c r="A18" s="115"/>
      <c r="B18" s="33"/>
      <c r="C18" s="13" t="s">
        <v>82</v>
      </c>
      <c r="D18" s="139"/>
      <c r="E18" s="118"/>
      <c r="F18" s="118"/>
      <c r="G18" s="33"/>
      <c r="H18" s="115"/>
      <c r="I18" s="33"/>
      <c r="J18" s="119" t="s">
        <v>83</v>
      </c>
      <c r="K18" s="120"/>
      <c r="L18" s="33"/>
      <c r="M18" s="115"/>
      <c r="N18" s="33"/>
      <c r="O18" s="121"/>
      <c r="P18" s="120"/>
      <c r="Q18" s="33"/>
      <c r="R18" s="115"/>
      <c r="S18" s="33"/>
      <c r="T18" s="128" t="s">
        <v>84</v>
      </c>
      <c r="U18" s="129"/>
      <c r="V18" s="118"/>
      <c r="W18" s="118"/>
      <c r="X18" s="44">
        <f>V18+W18+$P$6</f>
        <v>0</v>
      </c>
      <c r="Y18" s="134"/>
      <c r="Z18" s="133" t="s">
        <v>85</v>
      </c>
      <c r="AA18" s="129"/>
      <c r="AB18" s="118"/>
      <c r="AC18" s="118"/>
      <c r="AD18" s="118"/>
      <c r="AE18" s="44">
        <f t="shared" si="0"/>
        <v>0</v>
      </c>
      <c r="AF18" s="134"/>
      <c r="AG18" s="133" t="s">
        <v>86</v>
      </c>
      <c r="AH18" s="129"/>
      <c r="AI18" s="118"/>
      <c r="AJ18" s="131"/>
      <c r="AK18" s="44">
        <f>AI18+AJ18+$P$22</f>
        <v>0</v>
      </c>
      <c r="AL18" s="33"/>
      <c r="AM18" s="115"/>
    </row>
    <row r="19" spans="1:39">
      <c r="A19" s="115"/>
      <c r="B19" s="33"/>
      <c r="C19" s="13" t="s">
        <v>87</v>
      </c>
      <c r="D19" s="139"/>
      <c r="E19" s="151" t="s">
        <v>88</v>
      </c>
      <c r="F19" s="118"/>
      <c r="G19" s="33"/>
      <c r="H19" s="115"/>
      <c r="I19" s="33"/>
      <c r="J19" s="119"/>
      <c r="K19" s="127"/>
      <c r="L19" s="33"/>
      <c r="M19" s="115"/>
      <c r="N19" s="33"/>
      <c r="O19" s="121"/>
      <c r="P19" s="127"/>
      <c r="Q19" s="33"/>
      <c r="R19" s="115"/>
      <c r="S19" s="33"/>
      <c r="T19" s="152" t="s">
        <v>89</v>
      </c>
      <c r="U19" s="137"/>
      <c r="V19" s="118"/>
      <c r="W19" s="118"/>
      <c r="X19" s="44">
        <f>V19+ROUNDDOWN(W19/2,0)+$P$6</f>
        <v>0</v>
      </c>
      <c r="Y19" s="134"/>
      <c r="Z19" s="135" t="s">
        <v>90</v>
      </c>
      <c r="AA19" s="136"/>
      <c r="AB19" s="118"/>
      <c r="AC19" s="118"/>
      <c r="AD19" s="118"/>
      <c r="AE19" s="44">
        <f t="shared" si="0"/>
        <v>0</v>
      </c>
      <c r="AF19" s="134"/>
      <c r="AG19" s="133" t="s">
        <v>91</v>
      </c>
      <c r="AH19" s="129"/>
      <c r="AI19" s="118"/>
      <c r="AJ19" s="118"/>
      <c r="AK19" s="44">
        <f>AI19+AJ19+$P$12</f>
        <v>0</v>
      </c>
      <c r="AL19" s="33"/>
      <c r="AM19" s="115"/>
    </row>
    <row r="20" spans="1:39">
      <c r="A20" s="115"/>
      <c r="B20" s="33"/>
      <c r="C20" s="13" t="s">
        <v>92</v>
      </c>
      <c r="D20" s="139"/>
      <c r="E20" s="147"/>
      <c r="F20" s="118"/>
      <c r="G20" s="33"/>
      <c r="H20" s="115"/>
      <c r="I20" s="33"/>
      <c r="J20" s="119" t="s">
        <v>93</v>
      </c>
      <c r="K20" s="120"/>
      <c r="L20" s="33"/>
      <c r="M20" s="115"/>
      <c r="N20" s="33"/>
      <c r="O20" s="121"/>
      <c r="P20" s="120"/>
      <c r="Q20" s="33"/>
      <c r="R20" s="115"/>
      <c r="S20" s="33"/>
      <c r="T20" s="128" t="s">
        <v>94</v>
      </c>
      <c r="U20" s="129"/>
      <c r="V20" s="118"/>
      <c r="W20" s="118"/>
      <c r="X20" s="44">
        <f>V20+W20+$P$6</f>
        <v>0</v>
      </c>
      <c r="Y20" s="134"/>
      <c r="Z20" s="153" t="s">
        <v>95</v>
      </c>
      <c r="AA20" s="154" t="s">
        <v>96</v>
      </c>
      <c r="AB20" s="118"/>
      <c r="AC20" s="131"/>
      <c r="AD20" s="131"/>
      <c r="AE20" s="44">
        <f t="shared" si="0"/>
        <v>0</v>
      </c>
      <c r="AF20" s="134"/>
      <c r="AG20" s="133" t="s">
        <v>97</v>
      </c>
      <c r="AH20" s="129"/>
      <c r="AJ20" s="131"/>
      <c r="AK20" s="44">
        <f>AI20+AJ20+$P$12</f>
        <v>0</v>
      </c>
      <c r="AL20" s="33"/>
      <c r="AM20" s="115"/>
    </row>
    <row r="21" spans="1:39">
      <c r="A21" s="115"/>
      <c r="B21" s="33"/>
      <c r="C21" s="13" t="s">
        <v>98</v>
      </c>
      <c r="D21" s="155"/>
      <c r="E21" s="9" t="s">
        <v>99</v>
      </c>
      <c r="F21" s="156"/>
      <c r="G21" s="33"/>
      <c r="H21" s="115"/>
      <c r="I21" s="33"/>
      <c r="J21" s="119"/>
      <c r="K21" s="127"/>
      <c r="L21" s="33"/>
      <c r="M21" s="115"/>
      <c r="N21" s="33"/>
      <c r="O21" s="121"/>
      <c r="P21" s="127"/>
      <c r="Q21" s="33"/>
      <c r="R21" s="115"/>
      <c r="S21" s="33"/>
      <c r="T21" s="128" t="s">
        <v>100</v>
      </c>
      <c r="U21" s="129"/>
      <c r="V21" s="118"/>
      <c r="W21" s="118"/>
      <c r="X21" s="44">
        <f>V21+W21+$P$6</f>
        <v>0</v>
      </c>
      <c r="Y21" s="134"/>
      <c r="Z21" s="153" t="s">
        <v>95</v>
      </c>
      <c r="AA21" s="154" t="s">
        <v>101</v>
      </c>
      <c r="AB21" s="118"/>
      <c r="AC21" s="118"/>
      <c r="AD21" s="118"/>
      <c r="AE21" s="44">
        <f t="shared" si="0"/>
        <v>0</v>
      </c>
      <c r="AF21" s="134"/>
      <c r="AG21" s="133" t="s">
        <v>102</v>
      </c>
      <c r="AH21" s="129"/>
      <c r="AI21" s="118"/>
      <c r="AJ21" s="118"/>
      <c r="AK21" s="44">
        <f t="shared" ref="AK21:AK24" si="2">AI21+AJ21+$P$12</f>
        <v>0</v>
      </c>
      <c r="AL21" s="33"/>
      <c r="AM21" s="115"/>
    </row>
    <row r="22" spans="1:39">
      <c r="A22" s="115"/>
      <c r="B22" s="33"/>
      <c r="C22" s="157" t="s">
        <v>103</v>
      </c>
      <c r="D22" s="158"/>
      <c r="E22" s="158"/>
      <c r="F22" s="159"/>
      <c r="G22" s="33"/>
      <c r="H22" s="115"/>
      <c r="I22" s="33"/>
      <c r="J22" s="119" t="s">
        <v>104</v>
      </c>
      <c r="K22" s="120"/>
      <c r="L22" s="33"/>
      <c r="M22" s="115"/>
      <c r="N22" s="33"/>
      <c r="O22" s="54"/>
      <c r="P22" s="120"/>
      <c r="Q22" s="33"/>
      <c r="R22" s="115"/>
      <c r="S22" s="33"/>
      <c r="T22" s="7" t="s">
        <v>105</v>
      </c>
      <c r="U22" s="7"/>
      <c r="V22" s="17" t="s">
        <v>28</v>
      </c>
      <c r="W22" s="17" t="s">
        <v>29</v>
      </c>
      <c r="X22" s="145" t="s">
        <v>30</v>
      </c>
      <c r="Y22" s="123"/>
      <c r="Z22" s="153" t="s">
        <v>106</v>
      </c>
      <c r="AA22" s="154"/>
      <c r="AB22" s="118"/>
      <c r="AC22" s="118"/>
      <c r="AD22" s="118"/>
      <c r="AE22" s="44">
        <f t="shared" si="0"/>
        <v>0</v>
      </c>
      <c r="AF22" s="134"/>
      <c r="AG22" s="133" t="s">
        <v>107</v>
      </c>
      <c r="AH22" s="129"/>
      <c r="AI22" s="118"/>
      <c r="AJ22" s="118"/>
      <c r="AK22" s="44">
        <f t="shared" si="2"/>
        <v>0</v>
      </c>
      <c r="AL22" s="33"/>
      <c r="AM22" s="115"/>
    </row>
    <row r="23" spans="1:39">
      <c r="A23" s="115"/>
      <c r="B23" s="33"/>
      <c r="C23" s="33"/>
      <c r="D23" s="33"/>
      <c r="E23" s="33"/>
      <c r="F23" s="33"/>
      <c r="G23" s="33"/>
      <c r="H23" s="115"/>
      <c r="I23" s="33"/>
      <c r="J23" s="119"/>
      <c r="K23" s="127"/>
      <c r="L23" s="33"/>
      <c r="M23" s="115"/>
      <c r="N23" s="33"/>
      <c r="O23" s="42">
        <f>INT(MOD(K32,100)/10)-K22</f>
        <v>0</v>
      </c>
      <c r="P23" s="127"/>
      <c r="Q23" s="33"/>
      <c r="R23" s="115"/>
      <c r="S23" s="33"/>
      <c r="T23" s="128" t="s">
        <v>108</v>
      </c>
      <c r="U23" s="129"/>
      <c r="V23" s="118"/>
      <c r="W23" s="118"/>
      <c r="X23" s="44">
        <f>V23+W23+$P$12</f>
        <v>0</v>
      </c>
      <c r="Y23" s="134"/>
      <c r="Z23" s="135" t="s">
        <v>109</v>
      </c>
      <c r="AA23" s="136"/>
      <c r="AB23" s="118"/>
      <c r="AC23" s="118"/>
      <c r="AD23" s="118"/>
      <c r="AE23" s="44">
        <f t="shared" si="0"/>
        <v>0</v>
      </c>
      <c r="AF23" s="134"/>
      <c r="AG23" s="133" t="s">
        <v>110</v>
      </c>
      <c r="AH23" s="129"/>
      <c r="AI23" s="118"/>
      <c r="AJ23" s="118"/>
      <c r="AK23" s="44">
        <f t="shared" si="2"/>
        <v>0</v>
      </c>
      <c r="AL23" s="33"/>
      <c r="AM23" s="115"/>
    </row>
    <row r="24" spans="1:39">
      <c r="A24" s="115"/>
      <c r="B24" s="115"/>
      <c r="C24" s="115"/>
      <c r="D24" s="115"/>
      <c r="E24" s="115"/>
      <c r="F24" s="115"/>
      <c r="G24" s="115"/>
      <c r="H24" s="115"/>
      <c r="I24" s="33"/>
      <c r="J24" s="160" t="s">
        <v>111</v>
      </c>
      <c r="K24" s="161"/>
      <c r="L24" s="162"/>
      <c r="M24" s="163"/>
      <c r="N24" s="162"/>
      <c r="O24" s="164" t="s">
        <v>112</v>
      </c>
      <c r="P24" s="165"/>
      <c r="Q24" s="33"/>
      <c r="R24" s="115"/>
      <c r="S24" s="33"/>
      <c r="T24" s="166" t="s">
        <v>113</v>
      </c>
      <c r="U24" s="136"/>
      <c r="V24" s="118"/>
      <c r="W24" s="118"/>
      <c r="X24" s="44">
        <f>V24+W24+$P$10</f>
        <v>0</v>
      </c>
      <c r="Y24" s="134"/>
      <c r="Z24" s="153" t="s">
        <v>95</v>
      </c>
      <c r="AA24" s="154" t="s">
        <v>114</v>
      </c>
      <c r="AB24" s="118"/>
      <c r="AC24" s="131"/>
      <c r="AD24" s="131"/>
      <c r="AE24" s="44">
        <f t="shared" si="0"/>
        <v>0</v>
      </c>
      <c r="AF24" s="134"/>
      <c r="AG24" s="133" t="s">
        <v>115</v>
      </c>
      <c r="AH24" s="129"/>
      <c r="AI24" s="118"/>
      <c r="AJ24" s="118"/>
      <c r="AK24" s="44">
        <f t="shared" si="2"/>
        <v>0</v>
      </c>
      <c r="AL24" s="33"/>
      <c r="AM24" s="115"/>
    </row>
    <row r="25" spans="1:39">
      <c r="A25" s="115"/>
      <c r="B25" s="2" t="s">
        <v>116</v>
      </c>
      <c r="C25" s="3"/>
      <c r="D25" s="3"/>
      <c r="E25" s="115"/>
      <c r="F25" s="115"/>
      <c r="G25" s="115"/>
      <c r="H25" s="115"/>
      <c r="I25" s="33"/>
      <c r="J25" s="160" t="s">
        <v>117</v>
      </c>
      <c r="K25" s="167">
        <f>K24-SUM(K4:K22)</f>
        <v>0</v>
      </c>
      <c r="L25" s="162"/>
      <c r="M25" s="163"/>
      <c r="N25" s="162"/>
      <c r="O25" s="168"/>
      <c r="P25" s="169"/>
      <c r="Q25" s="33"/>
      <c r="R25" s="115"/>
      <c r="S25" s="134"/>
      <c r="T25" s="154" t="s">
        <v>95</v>
      </c>
      <c r="U25" s="154"/>
      <c r="V25" s="118"/>
      <c r="W25" s="118"/>
      <c r="X25" s="44">
        <f>V25+W25+$P$10</f>
        <v>0</v>
      </c>
      <c r="Y25" s="134"/>
      <c r="Z25" s="153" t="s">
        <v>95</v>
      </c>
      <c r="AA25" s="154"/>
      <c r="AB25" s="118"/>
      <c r="AC25" s="118"/>
      <c r="AD25" s="118"/>
      <c r="AE25" s="44">
        <f t="shared" si="0"/>
        <v>0</v>
      </c>
      <c r="AF25" s="134"/>
      <c r="AG25" s="124" t="s">
        <v>118</v>
      </c>
      <c r="AH25" s="7"/>
      <c r="AI25" s="17" t="s">
        <v>28</v>
      </c>
      <c r="AJ25" s="17" t="s">
        <v>29</v>
      </c>
      <c r="AK25" s="144" t="s">
        <v>30</v>
      </c>
      <c r="AL25" s="33"/>
      <c r="AM25" s="115"/>
    </row>
    <row r="26" spans="1:39">
      <c r="A26" s="115"/>
      <c r="B26" s="33"/>
      <c r="C26" s="33"/>
      <c r="D26" s="33"/>
      <c r="E26" s="33"/>
      <c r="F26" s="33"/>
      <c r="G26" s="33"/>
      <c r="H26" s="115"/>
      <c r="I26" s="33"/>
      <c r="J26" s="33"/>
      <c r="K26" s="33"/>
      <c r="L26" s="33"/>
      <c r="M26" s="115"/>
      <c r="N26" s="33"/>
      <c r="O26" s="33"/>
      <c r="P26" s="33"/>
      <c r="Q26" s="33"/>
      <c r="R26" s="115"/>
      <c r="S26" s="134"/>
      <c r="T26" s="154" t="s">
        <v>106</v>
      </c>
      <c r="U26" s="154"/>
      <c r="V26" s="118"/>
      <c r="W26" s="118"/>
      <c r="X26" s="44">
        <f>V26+W26+$P$10</f>
        <v>0</v>
      </c>
      <c r="Y26" s="134"/>
      <c r="Z26" s="153" t="s">
        <v>106</v>
      </c>
      <c r="AA26" s="154"/>
      <c r="AB26" s="118"/>
      <c r="AC26" s="118"/>
      <c r="AD26" s="118"/>
      <c r="AE26" s="44">
        <f t="shared" si="0"/>
        <v>0</v>
      </c>
      <c r="AF26" s="134"/>
      <c r="AG26" s="133" t="s">
        <v>119</v>
      </c>
      <c r="AH26" s="129"/>
      <c r="AI26" s="118"/>
      <c r="AJ26" s="118"/>
      <c r="AK26" s="44">
        <f>AI26+AJ26+$P$10</f>
        <v>0</v>
      </c>
      <c r="AL26" s="33"/>
      <c r="AM26" s="115"/>
    </row>
    <row r="27" spans="1:39">
      <c r="A27" s="115"/>
      <c r="B27" s="33"/>
      <c r="C27" s="7" t="s">
        <v>120</v>
      </c>
      <c r="D27" s="170"/>
      <c r="E27" s="171" t="s">
        <v>98</v>
      </c>
      <c r="F27" s="139"/>
      <c r="G27" s="33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134"/>
      <c r="AG27" s="140" t="s">
        <v>121</v>
      </c>
      <c r="AH27" s="141"/>
      <c r="AI27" s="118"/>
      <c r="AJ27" s="118"/>
      <c r="AK27" s="44">
        <f t="shared" ref="AK27:AK40" si="3">AI27+AJ27+$P$10</f>
        <v>0</v>
      </c>
      <c r="AL27" s="33"/>
      <c r="AM27" s="115"/>
    </row>
    <row r="28" spans="1:39">
      <c r="A28" s="115"/>
      <c r="B28" s="33"/>
      <c r="C28" s="7"/>
      <c r="D28" s="170"/>
      <c r="E28" s="172" t="s">
        <v>122</v>
      </c>
      <c r="F28" s="139"/>
      <c r="G28" s="33"/>
      <c r="H28" s="115"/>
      <c r="I28" s="2" t="s">
        <v>123</v>
      </c>
      <c r="J28" s="3"/>
      <c r="K28" s="3"/>
      <c r="L28" s="173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33"/>
      <c r="AG28" s="128" t="s">
        <v>124</v>
      </c>
      <c r="AH28" s="129"/>
      <c r="AI28" s="118"/>
      <c r="AJ28" s="118"/>
      <c r="AK28" s="44">
        <f t="shared" si="3"/>
        <v>0</v>
      </c>
      <c r="AL28" s="33"/>
      <c r="AM28" s="115"/>
    </row>
    <row r="29" spans="1:39">
      <c r="A29" s="115"/>
      <c r="B29" s="33"/>
      <c r="C29" s="7" t="s">
        <v>125</v>
      </c>
      <c r="D29" s="170"/>
      <c r="E29" s="171" t="s">
        <v>98</v>
      </c>
      <c r="F29" s="139"/>
      <c r="G29" s="33"/>
      <c r="H29" s="115"/>
      <c r="I29" s="33"/>
      <c r="J29" s="174" t="s">
        <v>126</v>
      </c>
      <c r="K29" s="33"/>
      <c r="L29" s="33"/>
      <c r="M29" s="33"/>
      <c r="N29" s="33"/>
      <c r="O29" s="33"/>
      <c r="P29" s="33"/>
      <c r="Q29" s="33"/>
      <c r="R29" s="115"/>
      <c r="S29" s="2" t="s">
        <v>127</v>
      </c>
      <c r="T29" s="3"/>
      <c r="U29" s="3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33"/>
      <c r="AG29" s="152" t="s">
        <v>128</v>
      </c>
      <c r="AH29" s="137"/>
      <c r="AI29" s="118"/>
      <c r="AJ29" s="118"/>
      <c r="AK29" s="44">
        <f>AI29+ROUNDDOWN(AJ29/2,0)+$P$10</f>
        <v>0</v>
      </c>
      <c r="AL29" s="33"/>
      <c r="AM29" s="115"/>
    </row>
    <row r="30" spans="1:39">
      <c r="A30" s="115"/>
      <c r="B30" s="33"/>
      <c r="C30" s="7"/>
      <c r="D30" s="170"/>
      <c r="E30" s="172" t="s">
        <v>122</v>
      </c>
      <c r="F30" s="139"/>
      <c r="G30" s="33"/>
      <c r="H30" s="115"/>
      <c r="I30" s="33"/>
      <c r="J30" s="175" t="s">
        <v>129</v>
      </c>
      <c r="K30" s="176"/>
      <c r="L30" s="177"/>
      <c r="M30" s="178"/>
      <c r="N30" s="179" t="s">
        <v>130</v>
      </c>
      <c r="O30" s="180">
        <f>10+ROUNDUP((K20+K14)/2,0)*5</f>
        <v>10</v>
      </c>
      <c r="P30" s="180"/>
      <c r="Q30" s="33"/>
      <c r="R30" s="115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115"/>
      <c r="AF30" s="33"/>
      <c r="AG30" s="152" t="s">
        <v>131</v>
      </c>
      <c r="AH30" s="137"/>
      <c r="AI30" s="118"/>
      <c r="AJ30" s="118"/>
      <c r="AK30" s="44">
        <f>AI30+ROUNDDOWN(AJ30/2,0)+$P$10</f>
        <v>0</v>
      </c>
      <c r="AL30" s="33"/>
      <c r="AM30" s="115"/>
    </row>
    <row r="31" spans="1:39">
      <c r="A31" s="115"/>
      <c r="B31" s="33"/>
      <c r="C31" s="7" t="s">
        <v>132</v>
      </c>
      <c r="D31" s="170"/>
      <c r="E31" s="171" t="s">
        <v>98</v>
      </c>
      <c r="F31" s="139"/>
      <c r="G31" s="33"/>
      <c r="H31" s="115"/>
      <c r="I31" s="33"/>
      <c r="J31" s="181"/>
      <c r="K31" s="182"/>
      <c r="L31" s="183"/>
      <c r="M31" s="149"/>
      <c r="N31" s="184"/>
      <c r="O31" s="44"/>
      <c r="P31" s="44"/>
      <c r="Q31" s="33"/>
      <c r="R31" s="115"/>
      <c r="S31" s="33"/>
      <c r="T31" s="8" t="s">
        <v>133</v>
      </c>
      <c r="U31" s="8"/>
      <c r="V31" s="8"/>
      <c r="W31" s="8" t="s">
        <v>134</v>
      </c>
      <c r="X31" s="8"/>
      <c r="Y31" s="185" t="s">
        <v>135</v>
      </c>
      <c r="Z31" s="185"/>
      <c r="AA31" s="33"/>
      <c r="AB31" s="33"/>
      <c r="AC31" s="33"/>
      <c r="AD31" s="33"/>
      <c r="AE31" s="115"/>
      <c r="AF31" s="33"/>
      <c r="AG31" s="128" t="s">
        <v>136</v>
      </c>
      <c r="AH31" s="129"/>
      <c r="AI31" s="118"/>
      <c r="AJ31" s="131"/>
      <c r="AK31" s="44">
        <f t="shared" si="3"/>
        <v>0</v>
      </c>
      <c r="AL31" s="33"/>
      <c r="AM31" s="115"/>
    </row>
    <row r="32" spans="1:39">
      <c r="A32" s="115"/>
      <c r="B32" s="33"/>
      <c r="C32" s="7"/>
      <c r="D32" s="170"/>
      <c r="E32" s="172" t="s">
        <v>122</v>
      </c>
      <c r="F32" s="139"/>
      <c r="G32" s="33"/>
      <c r="H32" s="115"/>
      <c r="I32" s="33"/>
      <c r="J32" s="175" t="s">
        <v>137</v>
      </c>
      <c r="K32" s="186"/>
      <c r="L32" s="155"/>
      <c r="M32" s="156"/>
      <c r="N32" s="179" t="s">
        <v>130</v>
      </c>
      <c r="O32" s="44">
        <f>10*K22-状态表!J5</f>
        <v>0</v>
      </c>
      <c r="P32" s="44"/>
      <c r="Q32" s="33"/>
      <c r="R32" s="115"/>
      <c r="S32" s="33"/>
      <c r="T32" s="187" t="s">
        <v>138</v>
      </c>
      <c r="U32" s="43">
        <f>装备卡!D39</f>
        <v>0</v>
      </c>
      <c r="V32" s="188"/>
      <c r="W32" s="54"/>
      <c r="X32" s="42">
        <f>装备卡!J39</f>
        <v>0</v>
      </c>
      <c r="Y32" s="189">
        <f>MAX(装备卡!K39:K41)</f>
        <v>0</v>
      </c>
      <c r="Z32" s="190"/>
      <c r="AA32" s="191" t="s">
        <v>139</v>
      </c>
      <c r="AB32" s="191"/>
      <c r="AC32" s="191"/>
      <c r="AD32" s="33"/>
      <c r="AE32" s="115"/>
      <c r="AF32" s="33"/>
      <c r="AG32" s="152" t="s">
        <v>140</v>
      </c>
      <c r="AH32" s="137"/>
      <c r="AI32" s="118"/>
      <c r="AJ32" s="118"/>
      <c r="AK32" s="44">
        <f>AI32+ROUNDDOWN(AJ32/2,0)+$P$10</f>
        <v>0</v>
      </c>
      <c r="AL32" s="33"/>
      <c r="AM32" s="115"/>
    </row>
    <row r="33" spans="1:39">
      <c r="A33" s="115"/>
      <c r="B33" s="33"/>
      <c r="C33" s="33"/>
      <c r="D33" s="33"/>
      <c r="E33" s="33"/>
      <c r="F33" s="33"/>
      <c r="G33" s="33"/>
      <c r="H33" s="115"/>
      <c r="I33" s="33"/>
      <c r="J33" s="192"/>
      <c r="K33" s="193"/>
      <c r="L33" s="194"/>
      <c r="M33" s="195"/>
      <c r="N33" s="196"/>
      <c r="O33" s="197"/>
      <c r="P33" s="197"/>
      <c r="Q33" s="33"/>
      <c r="R33" s="115"/>
      <c r="S33" s="33"/>
      <c r="T33" s="187" t="s">
        <v>141</v>
      </c>
      <c r="U33" s="43">
        <f>装备卡!D40</f>
        <v>0</v>
      </c>
      <c r="V33" s="188"/>
      <c r="W33" s="54"/>
      <c r="X33" s="42">
        <f>装备卡!J40</f>
        <v>0</v>
      </c>
      <c r="Y33" s="198"/>
      <c r="Z33" s="199"/>
      <c r="AA33" s="191"/>
      <c r="AB33" s="191"/>
      <c r="AC33" s="191"/>
      <c r="AD33" s="33"/>
      <c r="AE33" s="115"/>
      <c r="AF33" s="33"/>
      <c r="AG33" s="128" t="s">
        <v>142</v>
      </c>
      <c r="AH33" s="129"/>
      <c r="AI33" s="118"/>
      <c r="AJ33" s="118"/>
      <c r="AK33" s="44">
        <f t="shared" si="3"/>
        <v>0</v>
      </c>
      <c r="AL33" s="33"/>
      <c r="AM33" s="115"/>
    </row>
    <row r="34" spans="1:39">
      <c r="A34" s="115"/>
      <c r="B34" s="33"/>
      <c r="C34" s="119" t="s">
        <v>143</v>
      </c>
      <c r="D34" s="119"/>
      <c r="E34" s="119"/>
      <c r="F34" s="119"/>
      <c r="G34" s="33"/>
      <c r="H34" s="115"/>
      <c r="I34" s="33"/>
      <c r="J34" s="174" t="s">
        <v>144</v>
      </c>
      <c r="K34" s="33"/>
      <c r="L34" s="33"/>
      <c r="M34" s="33"/>
      <c r="N34" s="33"/>
      <c r="O34" s="33"/>
      <c r="P34" s="33"/>
      <c r="Q34" s="33"/>
      <c r="R34" s="115"/>
      <c r="S34" s="33"/>
      <c r="T34" s="187" t="s">
        <v>145</v>
      </c>
      <c r="U34" s="43">
        <f>装备卡!D41</f>
        <v>0</v>
      </c>
      <c r="V34" s="188"/>
      <c r="W34" s="54"/>
      <c r="X34" s="42">
        <f>装备卡!J41</f>
        <v>0</v>
      </c>
      <c r="Y34" s="200"/>
      <c r="Z34" s="201"/>
      <c r="AA34" s="191"/>
      <c r="AB34" s="191"/>
      <c r="AC34" s="191"/>
      <c r="AD34" s="33"/>
      <c r="AE34" s="115"/>
      <c r="AF34" s="33"/>
      <c r="AG34" s="128" t="s">
        <v>146</v>
      </c>
      <c r="AH34" s="129"/>
      <c r="AI34" s="118"/>
      <c r="AJ34" s="118"/>
      <c r="AK34" s="44">
        <f t="shared" si="3"/>
        <v>0</v>
      </c>
      <c r="AL34" s="33"/>
      <c r="AM34" s="115"/>
    </row>
    <row r="35" spans="1:39">
      <c r="A35" s="115"/>
      <c r="B35" s="33"/>
      <c r="C35" s="202"/>
      <c r="D35" s="202"/>
      <c r="E35" s="202"/>
      <c r="F35" s="202"/>
      <c r="G35" s="33"/>
      <c r="H35" s="115"/>
      <c r="I35" s="33"/>
      <c r="J35" s="203" t="s">
        <v>147</v>
      </c>
      <c r="K35" s="203"/>
      <c r="L35" s="203"/>
      <c r="M35" s="203"/>
      <c r="N35" s="204"/>
      <c r="O35" s="185" t="s">
        <v>148</v>
      </c>
      <c r="P35" s="204"/>
      <c r="Q35" s="33"/>
      <c r="R35" s="115"/>
      <c r="S35" s="33"/>
      <c r="T35" s="8" t="s">
        <v>149</v>
      </c>
      <c r="U35" s="8"/>
      <c r="V35" s="185" t="s">
        <v>150</v>
      </c>
      <c r="W35" s="8" t="s">
        <v>151</v>
      </c>
      <c r="X35" s="8"/>
      <c r="Y35" s="8" t="s">
        <v>152</v>
      </c>
      <c r="Z35" s="8"/>
      <c r="AA35" s="8" t="s">
        <v>143</v>
      </c>
      <c r="AB35" s="8"/>
      <c r="AC35" s="8"/>
      <c r="AD35" s="33"/>
      <c r="AE35" s="115"/>
      <c r="AF35" s="33"/>
      <c r="AG35" s="128" t="s">
        <v>153</v>
      </c>
      <c r="AH35" s="129"/>
      <c r="AI35" s="118"/>
      <c r="AJ35" s="118"/>
      <c r="AK35" s="44">
        <f t="shared" si="3"/>
        <v>0</v>
      </c>
      <c r="AL35" s="33"/>
      <c r="AM35" s="115"/>
    </row>
    <row r="36" spans="1:39">
      <c r="A36" s="115"/>
      <c r="B36" s="33"/>
      <c r="C36" s="202"/>
      <c r="D36" s="202"/>
      <c r="E36" s="202"/>
      <c r="F36" s="202"/>
      <c r="G36" s="33"/>
      <c r="H36" s="115"/>
      <c r="I36" s="33"/>
      <c r="J36" s="205"/>
      <c r="K36" s="118"/>
      <c r="L36" s="118"/>
      <c r="M36" s="118"/>
      <c r="N36" s="118"/>
      <c r="O36" s="118"/>
      <c r="P36" s="118"/>
      <c r="Q36" s="33"/>
      <c r="R36" s="115"/>
      <c r="S36" s="33"/>
      <c r="T36" s="206" t="str">
        <f>装备卡!C5</f>
        <v>0</v>
      </c>
      <c r="U36" s="206"/>
      <c r="V36" s="44">
        <f>装备卡!G5</f>
        <v>0</v>
      </c>
      <c r="W36" s="118"/>
      <c r="X36" s="44">
        <f>装备卡!H5</f>
        <v>0</v>
      </c>
      <c r="Y36" s="44">
        <f>装备卡!I5</f>
        <v>0</v>
      </c>
      <c r="Z36" s="44"/>
      <c r="AA36" s="118"/>
      <c r="AB36" s="118"/>
      <c r="AC36" s="118"/>
      <c r="AD36" s="33"/>
      <c r="AE36" s="115"/>
      <c r="AF36" s="33"/>
      <c r="AG36" s="128" t="s">
        <v>154</v>
      </c>
      <c r="AH36" s="129"/>
      <c r="AI36" s="118"/>
      <c r="AJ36" s="118"/>
      <c r="AK36" s="44">
        <f t="shared" si="3"/>
        <v>0</v>
      </c>
      <c r="AL36" s="33"/>
      <c r="AM36" s="115"/>
    </row>
    <row r="37" spans="1:39">
      <c r="A37" s="115"/>
      <c r="B37" s="33"/>
      <c r="C37" s="202"/>
      <c r="D37" s="202"/>
      <c r="E37" s="202"/>
      <c r="F37" s="202"/>
      <c r="G37" s="33"/>
      <c r="H37" s="115"/>
      <c r="I37" s="33"/>
      <c r="J37" s="205"/>
      <c r="K37" s="118"/>
      <c r="L37" s="118"/>
      <c r="M37" s="118"/>
      <c r="N37" s="118"/>
      <c r="O37" s="118"/>
      <c r="P37" s="118"/>
      <c r="Q37" s="33"/>
      <c r="R37" s="115"/>
      <c r="S37" s="33"/>
      <c r="T37" s="206"/>
      <c r="U37" s="206"/>
      <c r="V37" s="44"/>
      <c r="W37" s="118"/>
      <c r="X37" s="44"/>
      <c r="Y37" s="44"/>
      <c r="Z37" s="44"/>
      <c r="AA37" s="118"/>
      <c r="AB37" s="118"/>
      <c r="AC37" s="118"/>
      <c r="AD37" s="33"/>
      <c r="AE37" s="115"/>
      <c r="AF37" s="33"/>
      <c r="AG37" s="128" t="s">
        <v>155</v>
      </c>
      <c r="AH37" s="129"/>
      <c r="AI37" s="118"/>
      <c r="AJ37" s="118"/>
      <c r="AK37" s="44">
        <f t="shared" si="3"/>
        <v>0</v>
      </c>
      <c r="AL37" s="33"/>
      <c r="AM37" s="115"/>
    </row>
    <row r="38" spans="1:39">
      <c r="A38" s="115"/>
      <c r="B38" s="33"/>
      <c r="C38" s="202"/>
      <c r="D38" s="202"/>
      <c r="E38" s="202"/>
      <c r="F38" s="202"/>
      <c r="G38" s="33"/>
      <c r="H38" s="115"/>
      <c r="I38" s="33"/>
      <c r="J38" s="205"/>
      <c r="K38" s="118"/>
      <c r="L38" s="118"/>
      <c r="M38" s="118"/>
      <c r="N38" s="118"/>
      <c r="O38" s="118"/>
      <c r="P38" s="118"/>
      <c r="Q38" s="33"/>
      <c r="R38" s="115"/>
      <c r="S38" s="33"/>
      <c r="T38" s="206" t="str">
        <f>装备卡!C11</f>
        <v>0</v>
      </c>
      <c r="U38" s="206"/>
      <c r="V38" s="44" t="str">
        <f>装备卡!G11</f>
        <v>0</v>
      </c>
      <c r="W38" s="118"/>
      <c r="X38" s="44" t="str">
        <f>装备卡!H11</f>
        <v>0</v>
      </c>
      <c r="Y38" s="44" t="str">
        <f>装备卡!I11</f>
        <v>0</v>
      </c>
      <c r="Z38" s="44"/>
      <c r="AA38" s="118"/>
      <c r="AB38" s="118"/>
      <c r="AC38" s="118"/>
      <c r="AD38" s="33"/>
      <c r="AE38" s="115"/>
      <c r="AF38" s="33"/>
      <c r="AG38" s="128" t="s">
        <v>156</v>
      </c>
      <c r="AH38" s="129"/>
      <c r="AI38" s="118"/>
      <c r="AJ38" s="118"/>
      <c r="AK38" s="44">
        <f t="shared" si="3"/>
        <v>0</v>
      </c>
      <c r="AL38" s="33"/>
      <c r="AM38" s="115"/>
    </row>
    <row r="39" spans="1:39">
      <c r="A39" s="115"/>
      <c r="B39" s="33"/>
      <c r="C39" s="202"/>
      <c r="D39" s="202"/>
      <c r="E39" s="202"/>
      <c r="F39" s="202"/>
      <c r="G39" s="33"/>
      <c r="H39" s="115"/>
      <c r="I39" s="33"/>
      <c r="J39" s="205"/>
      <c r="K39" s="118"/>
      <c r="L39" s="118"/>
      <c r="M39" s="118"/>
      <c r="N39" s="118"/>
      <c r="O39" s="118"/>
      <c r="P39" s="118"/>
      <c r="Q39" s="33"/>
      <c r="R39" s="115"/>
      <c r="S39" s="33"/>
      <c r="T39" s="206"/>
      <c r="U39" s="206"/>
      <c r="V39" s="44"/>
      <c r="W39" s="118"/>
      <c r="X39" s="44"/>
      <c r="Y39" s="44"/>
      <c r="Z39" s="44"/>
      <c r="AA39" s="118"/>
      <c r="AB39" s="118"/>
      <c r="AC39" s="118"/>
      <c r="AD39" s="33"/>
      <c r="AE39" s="115"/>
      <c r="AF39" s="33"/>
      <c r="AG39" s="128" t="s">
        <v>157</v>
      </c>
      <c r="AH39" s="129"/>
      <c r="AI39" s="118"/>
      <c r="AJ39" s="118"/>
      <c r="AK39" s="44">
        <f t="shared" si="3"/>
        <v>0</v>
      </c>
      <c r="AL39" s="33"/>
      <c r="AM39" s="115"/>
    </row>
    <row r="40" spans="1:39">
      <c r="A40" s="115"/>
      <c r="B40" s="33"/>
      <c r="C40" s="202"/>
      <c r="D40" s="202"/>
      <c r="E40" s="202"/>
      <c r="F40" s="202"/>
      <c r="G40" s="33"/>
      <c r="H40" s="115"/>
      <c r="I40" s="33"/>
      <c r="J40" s="205"/>
      <c r="K40" s="118"/>
      <c r="L40" s="118"/>
      <c r="M40" s="118"/>
      <c r="N40" s="118"/>
      <c r="O40" s="118"/>
      <c r="P40" s="118"/>
      <c r="Q40" s="33"/>
      <c r="R40" s="115"/>
      <c r="S40" s="33"/>
      <c r="T40" s="206" t="str">
        <f>装备卡!C17</f>
        <v>0</v>
      </c>
      <c r="U40" s="206"/>
      <c r="V40" s="44">
        <f>装备卡!G17</f>
        <v>0</v>
      </c>
      <c r="W40" s="118"/>
      <c r="X40" s="44">
        <f>装备卡!H17</f>
        <v>0</v>
      </c>
      <c r="Y40" s="44">
        <f>装备卡!I17</f>
        <v>0</v>
      </c>
      <c r="Z40" s="44"/>
      <c r="AA40" s="118"/>
      <c r="AB40" s="118"/>
      <c r="AC40" s="118"/>
      <c r="AD40" s="33"/>
      <c r="AE40" s="115"/>
      <c r="AF40" s="33"/>
      <c r="AG40" s="128" t="s">
        <v>158</v>
      </c>
      <c r="AH40" s="129"/>
      <c r="AI40" s="118"/>
      <c r="AJ40" s="118"/>
      <c r="AK40" s="44">
        <f t="shared" si="3"/>
        <v>0</v>
      </c>
      <c r="AL40" s="33"/>
      <c r="AM40" s="115"/>
    </row>
    <row r="41" spans="1:39">
      <c r="A41" s="115"/>
      <c r="B41" s="33"/>
      <c r="C41" s="202"/>
      <c r="D41" s="202"/>
      <c r="E41" s="202"/>
      <c r="F41" s="202"/>
      <c r="G41" s="33"/>
      <c r="H41" s="115"/>
      <c r="I41" s="33"/>
      <c r="J41" s="205"/>
      <c r="K41" s="118"/>
      <c r="L41" s="118"/>
      <c r="M41" s="118"/>
      <c r="N41" s="118"/>
      <c r="O41" s="118"/>
      <c r="P41" s="118"/>
      <c r="Q41" s="33"/>
      <c r="R41" s="115"/>
      <c r="S41" s="33"/>
      <c r="T41" s="206"/>
      <c r="U41" s="206"/>
      <c r="V41" s="44"/>
      <c r="W41" s="118"/>
      <c r="X41" s="44"/>
      <c r="Y41" s="44"/>
      <c r="Z41" s="44"/>
      <c r="AA41" s="118"/>
      <c r="AB41" s="118"/>
      <c r="AC41" s="118"/>
      <c r="AD41" s="33"/>
      <c r="AE41" s="115"/>
      <c r="AF41" s="33"/>
      <c r="AG41" s="33"/>
      <c r="AH41" s="33"/>
      <c r="AI41" s="33"/>
      <c r="AJ41" s="33"/>
      <c r="AK41" s="33"/>
      <c r="AL41" s="33"/>
      <c r="AM41" s="115"/>
    </row>
    <row r="42" spans="1:39">
      <c r="A42" s="115"/>
      <c r="B42" s="33"/>
      <c r="C42" s="202"/>
      <c r="D42" s="202"/>
      <c r="E42" s="202"/>
      <c r="F42" s="202"/>
      <c r="G42" s="33"/>
      <c r="H42" s="115"/>
      <c r="I42" s="33"/>
      <c r="J42" s="205"/>
      <c r="K42" s="118"/>
      <c r="L42" s="118"/>
      <c r="M42" s="118"/>
      <c r="N42" s="118"/>
      <c r="O42" s="118"/>
      <c r="P42" s="118"/>
      <c r="Q42" s="33"/>
      <c r="R42" s="115"/>
      <c r="S42" s="33"/>
      <c r="T42" s="206">
        <f>装备卡!C23</f>
        <v>0</v>
      </c>
      <c r="U42" s="206"/>
      <c r="V42" s="44">
        <f>装备卡!G23</f>
        <v>0</v>
      </c>
      <c r="W42" s="118"/>
      <c r="X42" s="44">
        <f>装备卡!H23</f>
        <v>0</v>
      </c>
      <c r="Y42" s="44">
        <f>装备卡!I23</f>
        <v>0</v>
      </c>
      <c r="Z42" s="44"/>
      <c r="AA42" s="118"/>
      <c r="AB42" s="118"/>
      <c r="AC42" s="118"/>
      <c r="AD42" s="33"/>
      <c r="AE42" s="115"/>
      <c r="AF42" s="33"/>
      <c r="AG42" s="207" t="s">
        <v>111</v>
      </c>
      <c r="AH42" s="207"/>
      <c r="AI42" s="202"/>
      <c r="AJ42" s="171" t="s">
        <v>159</v>
      </c>
      <c r="AK42" s="208">
        <f>AI42-SUM(W5:W9)-SUM(W11:W16)-SUM(W18:W21)-SUM(W23:W26)-SUM(AC5:AC26)-SUM(AJ5:AJ8)-SUM(AJ10:AJ14)-SUM(AJ16:AJ24)-SUM(AJ26:AJ40)</f>
        <v>0</v>
      </c>
      <c r="AL42" s="33"/>
      <c r="AM42" s="115"/>
    </row>
    <row r="43" spans="1:39">
      <c r="A43" s="115"/>
      <c r="B43" s="33"/>
      <c r="C43" s="202"/>
      <c r="D43" s="202"/>
      <c r="E43" s="202"/>
      <c r="F43" s="202"/>
      <c r="G43" s="33"/>
      <c r="H43" s="115"/>
      <c r="I43" s="33"/>
      <c r="J43" s="209"/>
      <c r="K43" s="147"/>
      <c r="L43" s="147"/>
      <c r="M43" s="147"/>
      <c r="N43" s="147"/>
      <c r="O43" s="118"/>
      <c r="P43" s="118"/>
      <c r="Q43" s="33"/>
      <c r="R43" s="115"/>
      <c r="S43" s="33"/>
      <c r="T43" s="206"/>
      <c r="U43" s="206"/>
      <c r="V43" s="44"/>
      <c r="W43" s="118"/>
      <c r="X43" s="44"/>
      <c r="Y43" s="44"/>
      <c r="Z43" s="44"/>
      <c r="AA43" s="118"/>
      <c r="AB43" s="118"/>
      <c r="AC43" s="118"/>
      <c r="AD43" s="33"/>
      <c r="AE43" s="115"/>
      <c r="AF43" s="33"/>
      <c r="AG43" s="210" t="s">
        <v>160</v>
      </c>
      <c r="AH43" s="210"/>
      <c r="AI43" s="210"/>
      <c r="AJ43" s="210"/>
      <c r="AK43" s="210"/>
      <c r="AL43" s="33"/>
      <c r="AM43" s="115"/>
    </row>
    <row r="44" spans="1:39">
      <c r="A44" s="115"/>
      <c r="B44" s="33"/>
      <c r="C44" s="202"/>
      <c r="D44" s="202"/>
      <c r="E44" s="202"/>
      <c r="F44" s="202"/>
      <c r="G44" s="33"/>
      <c r="H44" s="115"/>
      <c r="I44" s="33"/>
      <c r="J44" s="211" t="s">
        <v>161</v>
      </c>
      <c r="K44" s="212"/>
      <c r="L44" s="212"/>
      <c r="M44" s="212"/>
      <c r="N44" s="212"/>
      <c r="O44" s="139"/>
      <c r="P44" s="118"/>
      <c r="Q44" s="33"/>
      <c r="R44" s="115"/>
      <c r="S44" s="33"/>
      <c r="T44" s="206">
        <f>装备卡!C29</f>
        <v>0</v>
      </c>
      <c r="U44" s="206"/>
      <c r="V44" s="44">
        <f>装备卡!G29</f>
        <v>0</v>
      </c>
      <c r="W44" s="118"/>
      <c r="X44" s="44">
        <f>装备卡!H29</f>
        <v>0</v>
      </c>
      <c r="Y44" s="44">
        <f>装备卡!I29</f>
        <v>0</v>
      </c>
      <c r="Z44" s="44"/>
      <c r="AA44" s="118"/>
      <c r="AB44" s="118"/>
      <c r="AC44" s="118"/>
      <c r="AD44" s="33"/>
      <c r="AE44" s="115"/>
      <c r="AF44" s="33"/>
      <c r="AG44" s="210"/>
      <c r="AH44" s="210"/>
      <c r="AI44" s="210"/>
      <c r="AJ44" s="210"/>
      <c r="AK44" s="210"/>
      <c r="AL44" s="33"/>
      <c r="AM44" s="115"/>
    </row>
    <row r="45" spans="1:39">
      <c r="A45" s="115"/>
      <c r="B45" s="33"/>
      <c r="C45" s="202"/>
      <c r="D45" s="202"/>
      <c r="E45" s="202"/>
      <c r="F45" s="202"/>
      <c r="G45" s="33"/>
      <c r="H45" s="115"/>
      <c r="I45" s="33"/>
      <c r="J45" s="213"/>
      <c r="K45" s="214"/>
      <c r="L45" s="214"/>
      <c r="M45" s="214"/>
      <c r="N45" s="214"/>
      <c r="O45" s="215"/>
      <c r="P45" s="216"/>
      <c r="Q45" s="33"/>
      <c r="R45" s="115"/>
      <c r="S45" s="33"/>
      <c r="T45" s="206"/>
      <c r="U45" s="206"/>
      <c r="V45" s="44"/>
      <c r="W45" s="118"/>
      <c r="X45" s="44"/>
      <c r="Y45" s="44"/>
      <c r="Z45" s="44"/>
      <c r="AA45" s="118"/>
      <c r="AB45" s="118"/>
      <c r="AC45" s="118"/>
      <c r="AD45" s="33"/>
      <c r="AE45" s="115"/>
      <c r="AF45" s="33"/>
      <c r="AG45" s="210"/>
      <c r="AH45" s="210"/>
      <c r="AI45" s="210"/>
      <c r="AJ45" s="210"/>
      <c r="AK45" s="210"/>
      <c r="AL45" s="33"/>
      <c r="AM45" s="115"/>
    </row>
    <row r="46" spans="1:39">
      <c r="A46" s="115"/>
      <c r="B46" s="33"/>
      <c r="C46" s="33"/>
      <c r="D46" s="33"/>
      <c r="E46" s="33"/>
      <c r="F46" s="33"/>
      <c r="G46" s="33"/>
      <c r="H46" s="115"/>
      <c r="I46" s="33"/>
      <c r="J46" s="33"/>
      <c r="K46" s="33"/>
      <c r="L46" s="33"/>
      <c r="M46" s="33"/>
      <c r="N46" s="33"/>
      <c r="O46" s="33"/>
      <c r="P46" s="33"/>
      <c r="Q46" s="33"/>
      <c r="R46" s="115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115"/>
      <c r="AF46" s="115"/>
      <c r="AG46" s="115"/>
      <c r="AH46" s="115"/>
      <c r="AI46" s="115"/>
      <c r="AJ46" s="115"/>
      <c r="AK46" s="115"/>
      <c r="AL46" s="115"/>
      <c r="AM46" s="115"/>
    </row>
    <row r="47" spans="1:39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</row>
  </sheetData>
  <autoFilter xmlns:etc="http://www.wps.cn/officeDocument/2017/etCustomData" ref="T4:X26" etc:filterBottomFollowUsedRange="0">
    <extLst/>
  </autoFilter>
  <mergeCells count="216">
    <mergeCell ref="T4:U4"/>
    <mergeCell ref="Z4:AA4"/>
    <mergeCell ref="AC4:AD4"/>
    <mergeCell ref="AG4:AH4"/>
    <mergeCell ref="T5:U5"/>
    <mergeCell ref="Z5:AA5"/>
    <mergeCell ref="AC5:AD5"/>
    <mergeCell ref="AG5:AH5"/>
    <mergeCell ref="T6:U6"/>
    <mergeCell ref="Z6:AA6"/>
    <mergeCell ref="AC6:AD6"/>
    <mergeCell ref="AG6:AH6"/>
    <mergeCell ref="T7:U7"/>
    <mergeCell ref="Z7:AA7"/>
    <mergeCell ref="AC7:AD7"/>
    <mergeCell ref="T8:U8"/>
    <mergeCell ref="Z8:AA8"/>
    <mergeCell ref="AC8:AD8"/>
    <mergeCell ref="AG8:AH8"/>
    <mergeCell ref="T9:U9"/>
    <mergeCell ref="Z9:AA9"/>
    <mergeCell ref="AC9:AD9"/>
    <mergeCell ref="AG9:AH9"/>
    <mergeCell ref="T10:U10"/>
    <mergeCell ref="Z10:AA10"/>
    <mergeCell ref="AC10:AD10"/>
    <mergeCell ref="AG10:AH10"/>
    <mergeCell ref="T11:U11"/>
    <mergeCell ref="Z11:AA11"/>
    <mergeCell ref="AC11:AD11"/>
    <mergeCell ref="AG11:AH11"/>
    <mergeCell ref="T12:U12"/>
    <mergeCell ref="Z12:AA12"/>
    <mergeCell ref="AC12:AD12"/>
    <mergeCell ref="AG12:AH12"/>
    <mergeCell ref="T13:U13"/>
    <mergeCell ref="Z13:AA13"/>
    <mergeCell ref="AC13:AD13"/>
    <mergeCell ref="AG13:AH13"/>
    <mergeCell ref="T14:U14"/>
    <mergeCell ref="Z14:AA14"/>
    <mergeCell ref="AC14:AD14"/>
    <mergeCell ref="AG14:AH14"/>
    <mergeCell ref="C15:F15"/>
    <mergeCell ref="T15:U15"/>
    <mergeCell ref="Z15:AA15"/>
    <mergeCell ref="AC15:AD15"/>
    <mergeCell ref="AG15:AH15"/>
    <mergeCell ref="D16:F16"/>
    <mergeCell ref="T16:U16"/>
    <mergeCell ref="Z16:AA16"/>
    <mergeCell ref="AC16:AD16"/>
    <mergeCell ref="AG16:AH16"/>
    <mergeCell ref="D17:F17"/>
    <mergeCell ref="T17:U17"/>
    <mergeCell ref="Z17:AA17"/>
    <mergeCell ref="AC17:AD17"/>
    <mergeCell ref="AG17:AH17"/>
    <mergeCell ref="D18:F18"/>
    <mergeCell ref="T18:U18"/>
    <mergeCell ref="Z18:AA18"/>
    <mergeCell ref="AC18:AD18"/>
    <mergeCell ref="AG18:AH18"/>
    <mergeCell ref="T19:U19"/>
    <mergeCell ref="Z19:AA19"/>
    <mergeCell ref="AC19:AD19"/>
    <mergeCell ref="AG19:AH19"/>
    <mergeCell ref="D20:F20"/>
    <mergeCell ref="T20:U20"/>
    <mergeCell ref="AC20:AD20"/>
    <mergeCell ref="AG20:AH20"/>
    <mergeCell ref="T21:U21"/>
    <mergeCell ref="AC21:AD21"/>
    <mergeCell ref="AG21:AH21"/>
    <mergeCell ref="D22:F22"/>
    <mergeCell ref="T22:U22"/>
    <mergeCell ref="AC22:AD22"/>
    <mergeCell ref="AG22:AH22"/>
    <mergeCell ref="T23:U23"/>
    <mergeCell ref="Z23:AA23"/>
    <mergeCell ref="AC23:AD23"/>
    <mergeCell ref="AG23:AH23"/>
    <mergeCell ref="T24:U24"/>
    <mergeCell ref="AC24:AD24"/>
    <mergeCell ref="AG24:AH24"/>
    <mergeCell ref="AC25:AD25"/>
    <mergeCell ref="AG25:AH25"/>
    <mergeCell ref="AC26:AD26"/>
    <mergeCell ref="AG26:AH26"/>
    <mergeCell ref="AG27:AH27"/>
    <mergeCell ref="AG28:AH28"/>
    <mergeCell ref="AG29:AH29"/>
    <mergeCell ref="AG30:AH30"/>
    <mergeCell ref="T31:V31"/>
    <mergeCell ref="W31:X31"/>
    <mergeCell ref="Y31:Z31"/>
    <mergeCell ref="AG31:AH31"/>
    <mergeCell ref="U32:V32"/>
    <mergeCell ref="AG32:AH32"/>
    <mergeCell ref="U33:V33"/>
    <mergeCell ref="AG33:AH33"/>
    <mergeCell ref="C34:F34"/>
    <mergeCell ref="U34:V34"/>
    <mergeCell ref="AG34:AH34"/>
    <mergeCell ref="J35:M35"/>
    <mergeCell ref="T35:U35"/>
    <mergeCell ref="W35:X35"/>
    <mergeCell ref="Y35:Z35"/>
    <mergeCell ref="AA35:AC35"/>
    <mergeCell ref="AG35:AH35"/>
    <mergeCell ref="AG36:AH36"/>
    <mergeCell ref="AG37:AH37"/>
    <mergeCell ref="AG38:AH38"/>
    <mergeCell ref="AG39:AH39"/>
    <mergeCell ref="AG40:AH40"/>
    <mergeCell ref="AG42:AH42"/>
    <mergeCell ref="C27:C28"/>
    <mergeCell ref="C29:C30"/>
    <mergeCell ref="C31:C32"/>
    <mergeCell ref="D27:D28"/>
    <mergeCell ref="D29:D30"/>
    <mergeCell ref="D31:D32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30:J31"/>
    <mergeCell ref="J32:J3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N30:N31"/>
    <mergeCell ref="N32:N3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4:O25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V36:V37"/>
    <mergeCell ref="V38:V39"/>
    <mergeCell ref="V40:V41"/>
    <mergeCell ref="V42:V43"/>
    <mergeCell ref="V44:V45"/>
    <mergeCell ref="W36:W37"/>
    <mergeCell ref="W38:W39"/>
    <mergeCell ref="W40:W41"/>
    <mergeCell ref="W42:W43"/>
    <mergeCell ref="W44:W45"/>
    <mergeCell ref="X36:X37"/>
    <mergeCell ref="X38:X39"/>
    <mergeCell ref="X40:X41"/>
    <mergeCell ref="X42:X43"/>
    <mergeCell ref="X44:X45"/>
    <mergeCell ref="AG43:AK45"/>
    <mergeCell ref="AA36:AC37"/>
    <mergeCell ref="AA38:AC39"/>
    <mergeCell ref="AA42:AC43"/>
    <mergeCell ref="AA44:AC45"/>
    <mergeCell ref="J42:N43"/>
    <mergeCell ref="O36:P37"/>
    <mergeCell ref="Y36:Z37"/>
    <mergeCell ref="O38:P39"/>
    <mergeCell ref="Y38:Z39"/>
    <mergeCell ref="O40:P41"/>
    <mergeCell ref="Y40:Z41"/>
    <mergeCell ref="O42:P43"/>
    <mergeCell ref="Y42:Z43"/>
    <mergeCell ref="T36:U37"/>
    <mergeCell ref="T38:U39"/>
    <mergeCell ref="T40:U41"/>
    <mergeCell ref="T42:U43"/>
    <mergeCell ref="T44:U45"/>
    <mergeCell ref="K32:M33"/>
    <mergeCell ref="Y32:Z34"/>
    <mergeCell ref="AA32:AC34"/>
    <mergeCell ref="C35:F45"/>
    <mergeCell ref="O30:P31"/>
    <mergeCell ref="O32:P33"/>
    <mergeCell ref="K30:M31"/>
    <mergeCell ref="J44:N45"/>
    <mergeCell ref="O44:P45"/>
    <mergeCell ref="Y44:Z45"/>
    <mergeCell ref="J36:N37"/>
    <mergeCell ref="J38:N39"/>
    <mergeCell ref="J40:N41"/>
    <mergeCell ref="AA40:AC41"/>
    <mergeCell ref="C4:F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AC43"/>
  <sheetViews>
    <sheetView workbookViewId="0">
      <selection activeCell="S10" sqref="S10:T10"/>
    </sheetView>
  </sheetViews>
  <sheetFormatPr defaultColWidth="8.86363636363636" defaultRowHeight="14"/>
  <cols>
    <col min="1" max="1" width="8.86363636363636" style="1"/>
    <col min="2" max="2" width="1.8" style="1" customWidth="1"/>
    <col min="3" max="4" width="8.86363636363636" style="1"/>
    <col min="5" max="5" width="10.8" style="1" customWidth="1"/>
    <col min="6" max="13" width="8.86363636363636" style="1"/>
    <col min="14" max="14" width="1.8" style="1" customWidth="1"/>
    <col min="15" max="15" width="4.8" style="1" customWidth="1"/>
    <col min="16" max="16" width="1.8" style="1" customWidth="1"/>
    <col min="17" max="20" width="8.86363636363636" style="1"/>
    <col min="21" max="21" width="1.8" style="1" customWidth="1"/>
    <col min="22" max="22" width="4.8" style="1" customWidth="1"/>
    <col min="23" max="23" width="1.8" style="1" customWidth="1"/>
    <col min="24" max="24" width="8.86363636363636" style="1"/>
    <col min="25" max="25" width="30.8" style="1" customWidth="1"/>
    <col min="26" max="28" width="8.86363636363636" style="1"/>
    <col min="29" max="29" width="1.8" style="1" customWidth="1"/>
    <col min="30" max="16384" width="8.86363636363636" style="1"/>
  </cols>
  <sheetData>
    <row r="2" spans="2:29">
      <c r="B2" s="2" t="s">
        <v>149</v>
      </c>
      <c r="C2" s="18"/>
      <c r="D2" s="18"/>
      <c r="E2" s="4" t="s">
        <v>162</v>
      </c>
      <c r="F2" s="4"/>
      <c r="G2" s="4"/>
      <c r="H2" s="4"/>
      <c r="I2" s="4"/>
      <c r="J2" s="4"/>
      <c r="K2" s="4"/>
      <c r="L2" s="4"/>
      <c r="M2" s="4"/>
      <c r="N2" s="4"/>
      <c r="P2" s="2" t="s">
        <v>163</v>
      </c>
      <c r="Q2" s="18"/>
      <c r="R2" s="18"/>
      <c r="W2" s="2" t="s">
        <v>164</v>
      </c>
      <c r="X2" s="18"/>
      <c r="Y2" s="4" t="s">
        <v>165</v>
      </c>
      <c r="Z2" s="4"/>
      <c r="AA2" s="4"/>
      <c r="AB2" s="4"/>
      <c r="AC2" s="4"/>
    </row>
    <row r="3" ht="10.05" customHeight="1" spans="2:29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6"/>
      <c r="Q3" s="6"/>
      <c r="R3" s="6"/>
      <c r="S3" s="6"/>
      <c r="T3" s="6"/>
      <c r="U3" s="6"/>
      <c r="W3" s="6"/>
      <c r="X3" s="6"/>
      <c r="Y3" s="6"/>
      <c r="Z3" s="6"/>
      <c r="AA3" s="6"/>
      <c r="AB3" s="6"/>
      <c r="AC3" s="6"/>
    </row>
    <row r="4" spans="2:29">
      <c r="B4" s="6"/>
      <c r="C4" s="7" t="s">
        <v>166</v>
      </c>
      <c r="D4" s="7"/>
      <c r="E4" s="7" t="s">
        <v>167</v>
      </c>
      <c r="F4" s="7" t="s">
        <v>168</v>
      </c>
      <c r="G4" s="7" t="s">
        <v>169</v>
      </c>
      <c r="H4" s="7" t="s">
        <v>170</v>
      </c>
      <c r="I4" s="7" t="s">
        <v>152</v>
      </c>
      <c r="J4" s="7" t="s">
        <v>171</v>
      </c>
      <c r="K4" s="7" t="s">
        <v>172</v>
      </c>
      <c r="L4" s="7" t="s">
        <v>173</v>
      </c>
      <c r="M4" s="7" t="s">
        <v>174</v>
      </c>
      <c r="N4" s="6"/>
      <c r="P4" s="6"/>
      <c r="Q4" s="19" t="s">
        <v>175</v>
      </c>
      <c r="R4" s="13" t="s">
        <v>176</v>
      </c>
      <c r="S4" s="63"/>
      <c r="T4" s="10"/>
      <c r="U4" s="6"/>
      <c r="W4" s="6"/>
      <c r="X4" s="19" t="s">
        <v>177</v>
      </c>
      <c r="Y4" s="19" t="s">
        <v>178</v>
      </c>
      <c r="Z4" s="19" t="s">
        <v>179</v>
      </c>
      <c r="AA4" s="19" t="s">
        <v>173</v>
      </c>
      <c r="AB4" s="19" t="s">
        <v>174</v>
      </c>
      <c r="AC4" s="6"/>
    </row>
    <row r="5" spans="2:29">
      <c r="B5" s="6"/>
      <c r="C5" s="64"/>
      <c r="D5" s="65"/>
      <c r="E5" s="66"/>
      <c r="F5" s="62"/>
      <c r="G5" s="62"/>
      <c r="H5" s="62"/>
      <c r="I5" s="62"/>
      <c r="J5" s="62"/>
      <c r="K5" s="62"/>
      <c r="L5" s="62"/>
      <c r="M5" s="62"/>
      <c r="N5" s="6"/>
      <c r="P5" s="6"/>
      <c r="Q5" s="12"/>
      <c r="R5" s="13" t="s">
        <v>180</v>
      </c>
      <c r="S5" s="63"/>
      <c r="T5" s="10"/>
      <c r="U5" s="6"/>
      <c r="W5" s="6"/>
      <c r="X5" s="30"/>
      <c r="Y5" s="67"/>
      <c r="Z5" s="30"/>
      <c r="AA5" s="30"/>
      <c r="AB5" s="30"/>
      <c r="AC5" s="6"/>
    </row>
    <row r="6" ht="78.75" customHeight="1" spans="2:29">
      <c r="B6" s="6"/>
      <c r="C6" s="68" t="s">
        <v>143</v>
      </c>
      <c r="D6" s="69"/>
      <c r="E6" s="69"/>
      <c r="F6" s="69"/>
      <c r="G6" s="70"/>
      <c r="H6" s="69"/>
      <c r="I6" s="71"/>
      <c r="J6" s="72"/>
      <c r="K6" s="71"/>
      <c r="L6" s="71"/>
      <c r="M6" s="71"/>
      <c r="N6" s="73"/>
      <c r="P6" s="6"/>
      <c r="Q6" s="7" t="s">
        <v>181</v>
      </c>
      <c r="R6" s="74" t="s">
        <v>182</v>
      </c>
      <c r="S6" s="63"/>
      <c r="T6" s="10"/>
      <c r="U6" s="6"/>
      <c r="W6" s="6"/>
      <c r="X6" s="30"/>
      <c r="Y6" s="30"/>
      <c r="Z6" s="30"/>
      <c r="AA6" s="30"/>
      <c r="AB6" s="30"/>
      <c r="AC6" s="6"/>
    </row>
    <row r="7" spans="2:29">
      <c r="B7" s="6"/>
      <c r="C7" s="68" t="s">
        <v>183</v>
      </c>
      <c r="D7" s="75"/>
      <c r="E7" s="76"/>
      <c r="F7" s="77"/>
      <c r="G7" s="77"/>
      <c r="H7" s="77"/>
      <c r="I7" s="77"/>
      <c r="J7" s="77"/>
      <c r="K7" s="78"/>
      <c r="L7" s="79"/>
      <c r="M7" s="79"/>
      <c r="N7" s="6"/>
      <c r="P7" s="6"/>
      <c r="Q7" s="7"/>
      <c r="R7" s="74" t="s">
        <v>184</v>
      </c>
      <c r="S7" s="63"/>
      <c r="T7" s="10"/>
      <c r="U7" s="6"/>
      <c r="W7" s="6"/>
      <c r="X7" s="30"/>
      <c r="Y7" s="30"/>
      <c r="Z7" s="30"/>
      <c r="AA7" s="30"/>
      <c r="AB7" s="30"/>
      <c r="AC7" s="6"/>
    </row>
    <row r="8" spans="2:29">
      <c r="B8" s="6"/>
      <c r="C8" s="68"/>
      <c r="D8" s="80"/>
      <c r="E8" s="81"/>
      <c r="F8" s="81"/>
      <c r="G8" s="81"/>
      <c r="H8" s="81"/>
      <c r="I8" s="81"/>
      <c r="J8" s="81"/>
      <c r="K8" s="82"/>
      <c r="L8" s="80"/>
      <c r="M8" s="80"/>
      <c r="N8" s="6"/>
      <c r="P8" s="6"/>
      <c r="Q8" s="7"/>
      <c r="R8" s="74" t="s">
        <v>185</v>
      </c>
      <c r="S8" s="83">
        <f>SUM(L5,L7:L9,L11,L13:L15,L17,L19:L21,L23,L25:L27,L29,L31:L33,L39:L41)+状态表!H5+SUM(AA5:AA41)</f>
        <v>0</v>
      </c>
      <c r="T8" s="11"/>
      <c r="U8" s="6"/>
      <c r="W8" s="6"/>
      <c r="X8" s="30"/>
      <c r="Y8" s="30"/>
      <c r="Z8" s="30"/>
      <c r="AA8" s="30"/>
      <c r="AB8" s="30"/>
      <c r="AC8" s="6"/>
    </row>
    <row r="9" spans="2:29">
      <c r="B9" s="6"/>
      <c r="C9" s="68"/>
      <c r="D9" s="84"/>
      <c r="E9" s="85"/>
      <c r="F9" s="85"/>
      <c r="G9" s="85"/>
      <c r="H9" s="85"/>
      <c r="I9" s="85"/>
      <c r="J9" s="85"/>
      <c r="K9" s="86"/>
      <c r="L9" s="84"/>
      <c r="M9" s="84"/>
      <c r="N9" s="6"/>
      <c r="P9" s="6"/>
      <c r="Q9" s="7"/>
      <c r="R9" s="74" t="s">
        <v>186</v>
      </c>
      <c r="S9" s="63"/>
      <c r="T9" s="10"/>
      <c r="U9" s="6"/>
      <c r="W9" s="6"/>
      <c r="X9" s="30"/>
      <c r="Y9" s="30"/>
      <c r="Z9" s="30"/>
      <c r="AA9" s="30"/>
      <c r="AB9" s="30"/>
      <c r="AC9" s="6"/>
    </row>
    <row r="10" spans="2:29">
      <c r="B10" s="6"/>
      <c r="C10" s="7" t="s">
        <v>166</v>
      </c>
      <c r="D10" s="7"/>
      <c r="E10" s="7" t="s">
        <v>167</v>
      </c>
      <c r="F10" s="7" t="s">
        <v>168</v>
      </c>
      <c r="G10" s="7" t="s">
        <v>169</v>
      </c>
      <c r="H10" s="7" t="s">
        <v>170</v>
      </c>
      <c r="I10" s="7" t="s">
        <v>152</v>
      </c>
      <c r="J10" s="7" t="s">
        <v>171</v>
      </c>
      <c r="K10" s="7" t="s">
        <v>172</v>
      </c>
      <c r="L10" s="7" t="s">
        <v>173</v>
      </c>
      <c r="M10" s="7" t="s">
        <v>174</v>
      </c>
      <c r="N10" s="6"/>
      <c r="P10" s="6"/>
      <c r="Q10" s="7"/>
      <c r="R10" s="13" t="s">
        <v>187</v>
      </c>
      <c r="S10" s="83">
        <f>SUM(S6:T7)-SUM(S8:T9)</f>
        <v>0</v>
      </c>
      <c r="T10" s="11"/>
      <c r="U10" s="6"/>
      <c r="W10" s="6"/>
      <c r="X10" s="30"/>
      <c r="Y10" s="30"/>
      <c r="Z10" s="30"/>
      <c r="AA10" s="30"/>
      <c r="AB10" s="30"/>
      <c r="AC10" s="6"/>
    </row>
    <row r="11" spans="2:29">
      <c r="B11" s="6"/>
      <c r="C11" s="64"/>
      <c r="D11" s="65"/>
      <c r="E11" s="66"/>
      <c r="F11" s="62"/>
      <c r="G11" s="62"/>
      <c r="H11" s="62"/>
      <c r="I11" s="62"/>
      <c r="J11" s="62"/>
      <c r="K11" s="62"/>
      <c r="L11" s="62"/>
      <c r="M11" s="62"/>
      <c r="N11" s="6"/>
      <c r="P11" s="6"/>
      <c r="Q11" s="87" t="s">
        <v>188</v>
      </c>
      <c r="R11" s="87"/>
      <c r="S11" s="87"/>
      <c r="T11" s="87"/>
      <c r="U11" s="6"/>
      <c r="W11" s="6"/>
      <c r="X11" s="30"/>
      <c r="Y11" s="30"/>
      <c r="Z11" s="30"/>
      <c r="AA11" s="30"/>
      <c r="AB11" s="30"/>
      <c r="AC11" s="6"/>
    </row>
    <row r="12" ht="67.5" customHeight="1" spans="2:29">
      <c r="B12" s="6"/>
      <c r="C12" s="68" t="s">
        <v>143</v>
      </c>
      <c r="D12" s="88"/>
      <c r="E12" s="89"/>
      <c r="F12" s="89"/>
      <c r="G12" s="89"/>
      <c r="H12" s="89"/>
      <c r="I12" s="89"/>
      <c r="J12" s="89"/>
      <c r="K12" s="89"/>
      <c r="L12" s="89"/>
      <c r="M12" s="90"/>
      <c r="N12" s="6"/>
      <c r="P12" s="6"/>
      <c r="Q12" s="87"/>
      <c r="R12" s="87"/>
      <c r="S12" s="87"/>
      <c r="T12" s="87"/>
      <c r="U12" s="6"/>
      <c r="W12" s="6"/>
      <c r="X12" s="30"/>
      <c r="Y12" s="30"/>
      <c r="Z12" s="30"/>
      <c r="AA12" s="30"/>
      <c r="AB12" s="30"/>
      <c r="AC12" s="6"/>
    </row>
    <row r="13" spans="2:29">
      <c r="B13" s="6"/>
      <c r="C13" s="68" t="s">
        <v>183</v>
      </c>
      <c r="D13" s="80"/>
      <c r="E13" s="81"/>
      <c r="F13" s="81"/>
      <c r="G13" s="81"/>
      <c r="H13" s="81"/>
      <c r="I13" s="81"/>
      <c r="J13" s="81"/>
      <c r="K13" s="82"/>
      <c r="L13" s="80"/>
      <c r="M13" s="79"/>
      <c r="N13" s="6"/>
      <c r="W13" s="6"/>
      <c r="X13" s="30"/>
      <c r="Y13" s="30"/>
      <c r="Z13" s="30"/>
      <c r="AA13" s="30"/>
      <c r="AB13" s="30"/>
      <c r="AC13" s="6"/>
    </row>
    <row r="14" spans="2:29">
      <c r="B14" s="6"/>
      <c r="C14" s="68"/>
      <c r="D14" s="80"/>
      <c r="E14" s="81"/>
      <c r="F14" s="81"/>
      <c r="G14" s="81"/>
      <c r="H14" s="81"/>
      <c r="I14" s="81"/>
      <c r="J14" s="81"/>
      <c r="K14" s="82"/>
      <c r="L14" s="80"/>
      <c r="M14" s="79"/>
      <c r="N14" s="6"/>
      <c r="P14" s="2" t="s">
        <v>189</v>
      </c>
      <c r="Q14" s="18"/>
      <c r="R14" s="18"/>
      <c r="S14" s="91" t="s">
        <v>190</v>
      </c>
      <c r="T14" s="91"/>
      <c r="U14" s="91"/>
      <c r="W14" s="6"/>
      <c r="X14" s="30"/>
      <c r="Y14" s="30"/>
      <c r="Z14" s="30"/>
      <c r="AA14" s="30"/>
      <c r="AB14" s="30"/>
      <c r="AC14" s="6"/>
    </row>
    <row r="15" spans="2:29">
      <c r="B15" s="6"/>
      <c r="C15" s="68"/>
      <c r="D15" s="84"/>
      <c r="E15" s="85"/>
      <c r="F15" s="85"/>
      <c r="G15" s="85"/>
      <c r="H15" s="85"/>
      <c r="I15" s="85"/>
      <c r="J15" s="85"/>
      <c r="K15" s="86"/>
      <c r="L15" s="84"/>
      <c r="M15" s="79"/>
      <c r="N15" s="6"/>
      <c r="P15" s="6"/>
      <c r="Q15" s="6"/>
      <c r="R15" s="6"/>
      <c r="S15" s="6"/>
      <c r="T15" s="6"/>
      <c r="U15" s="6"/>
      <c r="W15" s="6"/>
      <c r="X15" s="30"/>
      <c r="Y15" s="30"/>
      <c r="Z15" s="30"/>
      <c r="AA15" s="30"/>
      <c r="AB15" s="30"/>
      <c r="AC15" s="6"/>
    </row>
    <row r="16" spans="2:29">
      <c r="B16" s="6"/>
      <c r="C16" s="7" t="s">
        <v>166</v>
      </c>
      <c r="D16" s="7"/>
      <c r="E16" s="7" t="s">
        <v>167</v>
      </c>
      <c r="F16" s="7" t="s">
        <v>168</v>
      </c>
      <c r="G16" s="7" t="s">
        <v>169</v>
      </c>
      <c r="H16" s="7" t="s">
        <v>170</v>
      </c>
      <c r="I16" s="7" t="s">
        <v>152</v>
      </c>
      <c r="J16" s="7" t="s">
        <v>171</v>
      </c>
      <c r="K16" s="7" t="s">
        <v>172</v>
      </c>
      <c r="L16" s="7" t="s">
        <v>173</v>
      </c>
      <c r="M16" s="7" t="s">
        <v>174</v>
      </c>
      <c r="N16" s="6"/>
      <c r="P16" s="6"/>
      <c r="Q16" s="21" t="s">
        <v>191</v>
      </c>
      <c r="R16" s="8"/>
      <c r="S16" s="21" t="s">
        <v>192</v>
      </c>
      <c r="T16" s="8"/>
      <c r="U16" s="6"/>
      <c r="W16" s="6"/>
      <c r="X16" s="30"/>
      <c r="Y16" s="30"/>
      <c r="Z16" s="30"/>
      <c r="AA16" s="30"/>
      <c r="AB16" s="30"/>
      <c r="AC16" s="6"/>
    </row>
    <row r="17" spans="2:29">
      <c r="B17" s="6"/>
      <c r="C17" s="64"/>
      <c r="D17" s="65"/>
      <c r="E17" s="66"/>
      <c r="F17" s="62"/>
      <c r="G17" s="62"/>
      <c r="H17" s="62"/>
      <c r="I17" s="62"/>
      <c r="J17" s="62"/>
      <c r="K17" s="62"/>
      <c r="L17" s="62"/>
      <c r="M17" s="62"/>
      <c r="N17" s="6"/>
      <c r="P17" s="6"/>
      <c r="Q17" s="30"/>
      <c r="R17" s="30"/>
      <c r="S17" s="30"/>
      <c r="T17" s="30"/>
      <c r="U17" s="6"/>
      <c r="W17" s="6"/>
      <c r="X17" s="30"/>
      <c r="Y17" s="30"/>
      <c r="Z17" s="30"/>
      <c r="AA17" s="30"/>
      <c r="AB17" s="30"/>
      <c r="AC17" s="6"/>
    </row>
    <row r="18" ht="76.5" customHeight="1" spans="2:29">
      <c r="B18" s="6"/>
      <c r="C18" s="68" t="s">
        <v>143</v>
      </c>
      <c r="D18" s="92"/>
      <c r="E18" s="93"/>
      <c r="F18" s="94"/>
      <c r="G18" s="95"/>
      <c r="H18" s="94"/>
      <c r="I18" s="92"/>
      <c r="J18" s="94"/>
      <c r="K18" s="96"/>
      <c r="L18" s="94"/>
      <c r="M18" s="97"/>
      <c r="N18" s="98"/>
      <c r="P18" s="6"/>
      <c r="Q18" s="21" t="s">
        <v>193</v>
      </c>
      <c r="R18" s="8"/>
      <c r="S18" s="21" t="s">
        <v>192</v>
      </c>
      <c r="T18" s="8"/>
      <c r="U18" s="6"/>
      <c r="W18" s="6"/>
      <c r="X18" s="30"/>
      <c r="Y18" s="30"/>
      <c r="Z18" s="30"/>
      <c r="AA18" s="30"/>
      <c r="AB18" s="30"/>
      <c r="AC18" s="6"/>
    </row>
    <row r="19" spans="2:29">
      <c r="B19" s="6"/>
      <c r="C19" s="68" t="s">
        <v>183</v>
      </c>
      <c r="D19" s="80"/>
      <c r="E19" s="81"/>
      <c r="F19" s="81"/>
      <c r="G19" s="81"/>
      <c r="H19" s="81"/>
      <c r="I19" s="81"/>
      <c r="J19" s="81"/>
      <c r="K19" s="82"/>
      <c r="L19" s="80"/>
      <c r="M19" s="79"/>
      <c r="N19" s="6"/>
      <c r="P19" s="6"/>
      <c r="Q19" s="30"/>
      <c r="R19" s="30"/>
      <c r="S19" s="30"/>
      <c r="T19" s="30"/>
      <c r="U19" s="6"/>
      <c r="W19" s="6"/>
      <c r="X19" s="30"/>
      <c r="Y19" s="30"/>
      <c r="Z19" s="30"/>
      <c r="AA19" s="30"/>
      <c r="AB19" s="30"/>
      <c r="AC19" s="6"/>
    </row>
    <row r="20" spans="2:29">
      <c r="B20" s="6"/>
      <c r="C20" s="68"/>
      <c r="D20" s="80"/>
      <c r="E20" s="81"/>
      <c r="F20" s="81"/>
      <c r="G20" s="81"/>
      <c r="H20" s="81"/>
      <c r="I20" s="81"/>
      <c r="J20" s="81"/>
      <c r="K20" s="82"/>
      <c r="L20" s="82"/>
      <c r="M20" s="79"/>
      <c r="N20" s="6"/>
      <c r="P20" s="6"/>
      <c r="Q20" s="21" t="s">
        <v>194</v>
      </c>
      <c r="R20" s="8"/>
      <c r="S20" s="21" t="s">
        <v>195</v>
      </c>
      <c r="T20" s="8"/>
      <c r="U20" s="6"/>
      <c r="W20" s="6"/>
      <c r="X20" s="30"/>
      <c r="Y20" s="30"/>
      <c r="Z20" s="30"/>
      <c r="AA20" s="30"/>
      <c r="AB20" s="30"/>
      <c r="AC20" s="6"/>
    </row>
    <row r="21" spans="2:29">
      <c r="B21" s="6"/>
      <c r="C21" s="68"/>
      <c r="D21" s="80"/>
      <c r="E21" s="85"/>
      <c r="F21" s="85"/>
      <c r="G21" s="85"/>
      <c r="H21" s="85"/>
      <c r="I21" s="85"/>
      <c r="J21" s="85"/>
      <c r="K21" s="86"/>
      <c r="L21" s="82"/>
      <c r="M21" s="79"/>
      <c r="N21" s="6"/>
      <c r="P21" s="6"/>
      <c r="Q21" s="60"/>
      <c r="R21" s="60"/>
      <c r="S21" s="99">
        <f>S19+S17</f>
        <v>0</v>
      </c>
      <c r="T21" s="99"/>
      <c r="U21" s="6"/>
      <c r="W21" s="6"/>
      <c r="X21" s="30"/>
      <c r="Y21" s="30"/>
      <c r="Z21" s="30"/>
      <c r="AA21" s="30"/>
      <c r="AB21" s="30"/>
      <c r="AC21" s="6"/>
    </row>
    <row r="22" spans="2:29">
      <c r="B22" s="6"/>
      <c r="C22" s="7" t="s">
        <v>166</v>
      </c>
      <c r="D22" s="7"/>
      <c r="E22" s="7" t="s">
        <v>167</v>
      </c>
      <c r="F22" s="7" t="s">
        <v>168</v>
      </c>
      <c r="G22" s="7" t="s">
        <v>169</v>
      </c>
      <c r="H22" s="7" t="s">
        <v>170</v>
      </c>
      <c r="I22" s="7" t="s">
        <v>152</v>
      </c>
      <c r="J22" s="7" t="s">
        <v>171</v>
      </c>
      <c r="K22" s="7" t="s">
        <v>172</v>
      </c>
      <c r="L22" s="7" t="s">
        <v>173</v>
      </c>
      <c r="M22" s="7" t="s">
        <v>174</v>
      </c>
      <c r="N22" s="6"/>
      <c r="P22" s="6"/>
      <c r="Q22" s="7" t="s">
        <v>196</v>
      </c>
      <c r="R22" s="7"/>
      <c r="S22" s="7" t="s">
        <v>179</v>
      </c>
      <c r="T22" s="7" t="s">
        <v>197</v>
      </c>
      <c r="U22" s="6"/>
      <c r="W22" s="6"/>
      <c r="X22" s="30"/>
      <c r="Y22" s="30"/>
      <c r="Z22" s="30"/>
      <c r="AA22" s="30"/>
      <c r="AB22" s="30"/>
      <c r="AC22" s="6"/>
    </row>
    <row r="23" spans="2:29">
      <c r="B23" s="6"/>
      <c r="C23" s="64"/>
      <c r="D23" s="65"/>
      <c r="E23" s="66"/>
      <c r="F23" s="62"/>
      <c r="G23" s="62"/>
      <c r="H23" s="62"/>
      <c r="I23" s="62"/>
      <c r="J23" s="62"/>
      <c r="K23" s="62"/>
      <c r="L23" s="62"/>
      <c r="M23" s="62"/>
      <c r="N23" s="6"/>
      <c r="P23" s="6"/>
      <c r="Q23" s="28"/>
      <c r="R23" s="28"/>
      <c r="S23" s="28"/>
      <c r="T23" s="28"/>
      <c r="U23" s="6"/>
      <c r="W23" s="6"/>
      <c r="X23" s="30"/>
      <c r="Y23" s="30"/>
      <c r="Z23" s="30"/>
      <c r="AA23" s="30"/>
      <c r="AB23" s="30"/>
      <c r="AC23" s="6"/>
    </row>
    <row r="24" spans="2:29">
      <c r="B24" s="6"/>
      <c r="C24" s="68" t="s">
        <v>143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6"/>
      <c r="P24" s="6"/>
      <c r="Q24" s="10"/>
      <c r="R24" s="10"/>
      <c r="S24" s="10"/>
      <c r="T24" s="10"/>
      <c r="U24" s="6"/>
      <c r="W24" s="6"/>
      <c r="X24" s="30"/>
      <c r="Y24" s="30"/>
      <c r="Z24" s="30"/>
      <c r="AA24" s="30"/>
      <c r="AB24" s="30"/>
      <c r="AC24" s="6"/>
    </row>
    <row r="25" spans="2:29">
      <c r="B25" s="6"/>
      <c r="C25" s="68" t="s">
        <v>183</v>
      </c>
      <c r="D25" s="80"/>
      <c r="E25" s="81"/>
      <c r="F25" s="81"/>
      <c r="G25" s="81"/>
      <c r="H25" s="81"/>
      <c r="I25" s="81"/>
      <c r="J25" s="81"/>
      <c r="K25" s="82"/>
      <c r="L25" s="82"/>
      <c r="M25" s="79"/>
      <c r="N25" s="6"/>
      <c r="P25" s="6"/>
      <c r="Q25" s="10"/>
      <c r="R25" s="10"/>
      <c r="S25" s="10"/>
      <c r="T25" s="10"/>
      <c r="U25" s="6"/>
      <c r="W25" s="6"/>
      <c r="X25" s="30"/>
      <c r="Y25" s="30"/>
      <c r="Z25" s="30"/>
      <c r="AA25" s="30"/>
      <c r="AB25" s="30"/>
      <c r="AC25" s="6"/>
    </row>
    <row r="26" spans="2:29">
      <c r="B26" s="6"/>
      <c r="C26" s="68"/>
      <c r="D26" s="80"/>
      <c r="E26" s="81"/>
      <c r="F26" s="81"/>
      <c r="G26" s="81"/>
      <c r="H26" s="81"/>
      <c r="I26" s="81"/>
      <c r="J26" s="81"/>
      <c r="K26" s="82"/>
      <c r="L26" s="82"/>
      <c r="M26" s="79"/>
      <c r="N26" s="6"/>
      <c r="P26" s="6"/>
      <c r="Q26" s="10"/>
      <c r="R26" s="10"/>
      <c r="S26" s="10"/>
      <c r="T26" s="10"/>
      <c r="U26" s="6"/>
      <c r="W26" s="6"/>
      <c r="X26" s="30"/>
      <c r="Y26" s="30"/>
      <c r="Z26" s="30"/>
      <c r="AA26" s="30"/>
      <c r="AB26" s="30"/>
      <c r="AC26" s="6"/>
    </row>
    <row r="27" spans="2:29">
      <c r="B27" s="6"/>
      <c r="C27" s="102"/>
      <c r="D27" s="84"/>
      <c r="E27" s="85"/>
      <c r="F27" s="85"/>
      <c r="G27" s="85"/>
      <c r="H27" s="85"/>
      <c r="I27" s="85"/>
      <c r="J27" s="85"/>
      <c r="K27" s="86"/>
      <c r="L27" s="86"/>
      <c r="M27" s="103"/>
      <c r="N27" s="6"/>
      <c r="P27" s="6"/>
      <c r="Q27" s="10"/>
      <c r="R27" s="10"/>
      <c r="S27" s="10"/>
      <c r="T27" s="10"/>
      <c r="U27" s="6"/>
      <c r="W27" s="6"/>
      <c r="X27" s="30"/>
      <c r="Y27" s="30"/>
      <c r="Z27" s="30"/>
      <c r="AA27" s="30"/>
      <c r="AB27" s="30"/>
      <c r="AC27" s="6"/>
    </row>
    <row r="28" spans="2:29">
      <c r="B28" s="6"/>
      <c r="C28" s="7" t="s">
        <v>166</v>
      </c>
      <c r="D28" s="7"/>
      <c r="E28" s="7" t="s">
        <v>167</v>
      </c>
      <c r="F28" s="7" t="s">
        <v>168</v>
      </c>
      <c r="G28" s="7" t="s">
        <v>169</v>
      </c>
      <c r="H28" s="7" t="s">
        <v>170</v>
      </c>
      <c r="I28" s="7" t="s">
        <v>152</v>
      </c>
      <c r="J28" s="7" t="s">
        <v>171</v>
      </c>
      <c r="K28" s="7" t="s">
        <v>172</v>
      </c>
      <c r="L28" s="7" t="s">
        <v>173</v>
      </c>
      <c r="M28" s="7" t="s">
        <v>174</v>
      </c>
      <c r="N28" s="6"/>
      <c r="P28" s="6"/>
      <c r="Q28" s="10"/>
      <c r="R28" s="10"/>
      <c r="S28" s="10"/>
      <c r="T28" s="10"/>
      <c r="U28" s="6"/>
      <c r="W28" s="6"/>
      <c r="X28" s="30"/>
      <c r="Y28" s="30"/>
      <c r="Z28" s="30"/>
      <c r="AA28" s="30"/>
      <c r="AB28" s="30"/>
      <c r="AC28" s="6"/>
    </row>
    <row r="29" spans="2:29">
      <c r="B29" s="6"/>
      <c r="C29" s="64"/>
      <c r="D29" s="65"/>
      <c r="E29" s="66"/>
      <c r="F29" s="62"/>
      <c r="G29" s="62"/>
      <c r="H29" s="62"/>
      <c r="I29" s="62"/>
      <c r="J29" s="62"/>
      <c r="K29" s="62"/>
      <c r="L29" s="62"/>
      <c r="M29" s="62"/>
      <c r="N29" s="6"/>
      <c r="P29" s="6"/>
      <c r="Q29" s="10"/>
      <c r="R29" s="10"/>
      <c r="S29" s="10"/>
      <c r="T29" s="10"/>
      <c r="U29" s="6"/>
      <c r="W29" s="6"/>
      <c r="X29" s="30"/>
      <c r="Y29" s="30"/>
      <c r="Z29" s="30"/>
      <c r="AA29" s="30"/>
      <c r="AB29" s="30"/>
      <c r="AC29" s="6"/>
    </row>
    <row r="30" spans="2:29">
      <c r="B30" s="23"/>
      <c r="C30" s="68" t="s">
        <v>143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04"/>
      <c r="P30" s="6"/>
      <c r="Q30" s="10"/>
      <c r="R30" s="10"/>
      <c r="S30" s="10"/>
      <c r="T30" s="10"/>
      <c r="U30" s="6"/>
      <c r="W30" s="6"/>
      <c r="X30" s="30"/>
      <c r="Y30" s="30"/>
      <c r="Z30" s="30"/>
      <c r="AA30" s="30"/>
      <c r="AB30" s="30"/>
      <c r="AC30" s="6"/>
    </row>
    <row r="31" spans="2:29">
      <c r="B31" s="6"/>
      <c r="C31" s="68" t="s">
        <v>183</v>
      </c>
      <c r="D31" s="80"/>
      <c r="E31" s="81"/>
      <c r="F31" s="81"/>
      <c r="G31" s="81"/>
      <c r="H31" s="81"/>
      <c r="I31" s="81"/>
      <c r="J31" s="81"/>
      <c r="K31" s="82"/>
      <c r="L31" s="82"/>
      <c r="M31" s="79"/>
      <c r="N31" s="6"/>
      <c r="P31" s="6"/>
      <c r="Q31" s="10"/>
      <c r="R31" s="10"/>
      <c r="S31" s="10"/>
      <c r="T31" s="10"/>
      <c r="U31" s="6"/>
      <c r="W31" s="6"/>
      <c r="X31" s="30"/>
      <c r="Y31" s="30"/>
      <c r="Z31" s="30"/>
      <c r="AA31" s="30"/>
      <c r="AB31" s="30"/>
      <c r="AC31" s="6"/>
    </row>
    <row r="32" spans="2:29">
      <c r="B32" s="6"/>
      <c r="C32" s="68"/>
      <c r="D32" s="80"/>
      <c r="E32" s="81"/>
      <c r="F32" s="81"/>
      <c r="G32" s="81"/>
      <c r="H32" s="81"/>
      <c r="I32" s="81"/>
      <c r="J32" s="81"/>
      <c r="K32" s="82"/>
      <c r="L32" s="82"/>
      <c r="M32" s="79"/>
      <c r="N32" s="6"/>
      <c r="P32" s="6"/>
      <c r="Q32" s="10"/>
      <c r="R32" s="29"/>
      <c r="S32" s="29"/>
      <c r="T32" s="10"/>
      <c r="U32" s="6"/>
      <c r="W32" s="6"/>
      <c r="X32" s="30"/>
      <c r="Y32" s="30"/>
      <c r="Z32" s="30"/>
      <c r="AA32" s="30"/>
      <c r="AB32" s="30"/>
      <c r="AC32" s="6"/>
    </row>
    <row r="33" spans="2:29">
      <c r="B33" s="6"/>
      <c r="C33" s="102"/>
      <c r="D33" s="84"/>
      <c r="E33" s="85"/>
      <c r="F33" s="85"/>
      <c r="G33" s="85"/>
      <c r="H33" s="85"/>
      <c r="I33" s="85"/>
      <c r="J33" s="85"/>
      <c r="K33" s="86"/>
      <c r="L33" s="86"/>
      <c r="M33" s="103"/>
      <c r="N33" s="6"/>
      <c r="P33" s="6"/>
      <c r="Q33" s="6"/>
      <c r="R33" s="7" t="s">
        <v>198</v>
      </c>
      <c r="S33" s="7"/>
      <c r="T33" s="105">
        <f>S23*T23+S24*T24+S25*T25+S26*T26+S27*T27+S28*T28+S29*T29+S30*T30+S31*T31+S32*T32</f>
        <v>0</v>
      </c>
      <c r="U33" s="6"/>
      <c r="W33" s="6"/>
      <c r="X33" s="30"/>
      <c r="Y33" s="30"/>
      <c r="Z33" s="30"/>
      <c r="AA33" s="30"/>
      <c r="AB33" s="30"/>
      <c r="AC33" s="6"/>
    </row>
    <row r="34" spans="2:29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6"/>
      <c r="W34" s="6"/>
      <c r="X34" s="30"/>
      <c r="Y34" s="30"/>
      <c r="Z34" s="30"/>
      <c r="AA34" s="30"/>
      <c r="AB34" s="30"/>
      <c r="AC34" s="6"/>
    </row>
    <row r="35" spans="2:29">
      <c r="W35" s="6"/>
      <c r="X35" s="30"/>
      <c r="Y35" s="30"/>
      <c r="Z35" s="30"/>
      <c r="AA35" s="30"/>
      <c r="AB35" s="30"/>
      <c r="AC35" s="6"/>
    </row>
    <row r="36" spans="2:29">
      <c r="B36" s="2" t="s">
        <v>133</v>
      </c>
      <c r="C36" s="18"/>
      <c r="D36" s="18"/>
      <c r="E36" s="4" t="s">
        <v>199</v>
      </c>
      <c r="F36" s="4"/>
      <c r="G36" s="4"/>
      <c r="H36" s="4"/>
      <c r="I36" s="4"/>
      <c r="J36" s="4"/>
      <c r="K36" s="4"/>
      <c r="L36" s="4"/>
      <c r="M36" s="4"/>
      <c r="N36" s="4"/>
      <c r="W36" s="6"/>
      <c r="X36" s="30"/>
      <c r="Y36" s="30"/>
      <c r="Z36" s="30"/>
      <c r="AA36" s="30"/>
      <c r="AB36" s="30"/>
      <c r="AC36" s="6"/>
    </row>
    <row r="37" spans="2:29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W37" s="6"/>
      <c r="X37" s="30"/>
      <c r="Y37" s="30"/>
      <c r="Z37" s="30"/>
      <c r="AA37" s="30"/>
      <c r="AB37" s="30"/>
      <c r="AC37" s="6"/>
    </row>
    <row r="38" spans="2:29">
      <c r="B38" s="6"/>
      <c r="C38" s="9" t="s">
        <v>200</v>
      </c>
      <c r="D38" s="9" t="s">
        <v>201</v>
      </c>
      <c r="E38" s="106" t="s">
        <v>202</v>
      </c>
      <c r="F38" s="107"/>
      <c r="G38" s="108" t="s">
        <v>143</v>
      </c>
      <c r="H38" s="109"/>
      <c r="I38" s="110"/>
      <c r="J38" s="19" t="s">
        <v>203</v>
      </c>
      <c r="K38" s="19" t="s">
        <v>204</v>
      </c>
      <c r="L38" s="19" t="s">
        <v>173</v>
      </c>
      <c r="M38" s="19" t="s">
        <v>174</v>
      </c>
      <c r="N38" s="6"/>
      <c r="W38" s="6"/>
      <c r="X38" s="30"/>
      <c r="Y38" s="30"/>
      <c r="Z38" s="30"/>
      <c r="AA38" s="30"/>
      <c r="AB38" s="30"/>
      <c r="AC38" s="6"/>
    </row>
    <row r="39" ht="30" customHeight="1" spans="2:29">
      <c r="B39" s="6"/>
      <c r="C39" s="15" t="s">
        <v>205</v>
      </c>
      <c r="D39" s="10"/>
      <c r="E39" s="30"/>
      <c r="F39" s="30"/>
      <c r="G39" s="30"/>
      <c r="H39" s="30"/>
      <c r="I39" s="30"/>
      <c r="J39" s="30"/>
      <c r="K39" s="30"/>
      <c r="L39" s="30"/>
      <c r="M39" s="30"/>
      <c r="N39" s="6"/>
      <c r="W39" s="6"/>
      <c r="X39" s="10"/>
      <c r="Y39" s="10"/>
      <c r="Z39" s="10"/>
      <c r="AA39" s="10"/>
      <c r="AB39" s="10"/>
      <c r="AC39" s="6"/>
    </row>
    <row r="40" ht="30" customHeight="1" spans="2:29">
      <c r="B40" s="6"/>
      <c r="C40" s="15" t="s">
        <v>206</v>
      </c>
      <c r="D40" s="111"/>
      <c r="E40" s="112"/>
      <c r="F40" s="112"/>
      <c r="G40" s="10"/>
      <c r="H40" s="10"/>
      <c r="I40" s="10"/>
      <c r="J40" s="30"/>
      <c r="K40" s="30"/>
      <c r="L40" s="30"/>
      <c r="M40" s="30"/>
      <c r="N40" s="6"/>
      <c r="W40" s="6"/>
      <c r="X40" s="10"/>
      <c r="Y40" s="10"/>
      <c r="Z40" s="10"/>
      <c r="AA40" s="10"/>
      <c r="AB40" s="10"/>
      <c r="AC40" s="6"/>
    </row>
    <row r="41" ht="30" customHeight="1" spans="2:29">
      <c r="B41" s="6"/>
      <c r="C41" s="15" t="s">
        <v>207</v>
      </c>
      <c r="D41" s="113"/>
      <c r="E41" s="114"/>
      <c r="F41" s="114"/>
      <c r="G41" s="111"/>
      <c r="H41" s="111"/>
      <c r="I41" s="111"/>
      <c r="J41" s="114"/>
      <c r="K41" s="114"/>
      <c r="L41" s="30"/>
      <c r="M41" s="30"/>
      <c r="N41" s="6"/>
      <c r="W41" s="6"/>
      <c r="X41" s="10"/>
      <c r="Y41" s="10"/>
      <c r="Z41" s="10"/>
      <c r="AA41" s="10"/>
      <c r="AB41" s="10"/>
      <c r="AC41" s="6"/>
    </row>
    <row r="42" spans="2:29">
      <c r="B42" s="6"/>
      <c r="C42" s="3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W42" s="6"/>
      <c r="X42" s="6"/>
      <c r="Y42" s="6"/>
      <c r="Z42" s="6"/>
      <c r="AA42" s="6"/>
      <c r="AB42" s="6"/>
      <c r="AC42" s="6"/>
    </row>
    <row r="43" spans="2:29">
      <c r="C43" s="34"/>
    </row>
  </sheetData>
  <mergeCells count="164">
    <mergeCell ref="E2:N2"/>
    <mergeCell ref="Y2:AC2"/>
    <mergeCell ref="C4:D4"/>
    <mergeCell ref="S4:T4"/>
    <mergeCell ref="C5:D5"/>
    <mergeCell ref="S5:T5"/>
    <mergeCell ref="S6:T6"/>
    <mergeCell ref="E7:K7"/>
    <mergeCell ref="S7:T7"/>
    <mergeCell ref="E8:K8"/>
    <mergeCell ref="S8:T8"/>
    <mergeCell ref="E9:K9"/>
    <mergeCell ref="S9:T9"/>
    <mergeCell ref="C10:D10"/>
    <mergeCell ref="S10:T10"/>
    <mergeCell ref="C11:D11"/>
    <mergeCell ref="D12:M12"/>
    <mergeCell ref="E13:K13"/>
    <mergeCell ref="E14:K14"/>
    <mergeCell ref="S14:U14"/>
    <mergeCell ref="E15:K15"/>
    <mergeCell ref="C16:D16"/>
    <mergeCell ref="Q16:R16"/>
    <mergeCell ref="S16:T16"/>
    <mergeCell ref="C17:D17"/>
    <mergeCell ref="Q17:R17"/>
    <mergeCell ref="S17:T17"/>
    <mergeCell ref="Q18:R18"/>
    <mergeCell ref="S18:T18"/>
    <mergeCell ref="E19:K19"/>
    <mergeCell ref="Q19:R19"/>
    <mergeCell ref="S19:T19"/>
    <mergeCell ref="E20:K20"/>
    <mergeCell ref="Q20:R20"/>
    <mergeCell ref="S20:T20"/>
    <mergeCell ref="E21:K21"/>
    <mergeCell ref="Q21:R21"/>
    <mergeCell ref="S21:T21"/>
    <mergeCell ref="C22:D22"/>
    <mergeCell ref="Q22:R22"/>
    <mergeCell ref="C23:D23"/>
    <mergeCell ref="Q23:R23"/>
    <mergeCell ref="D24:M24"/>
    <mergeCell ref="Q24:R24"/>
    <mergeCell ref="E25:K25"/>
    <mergeCell ref="Q25:R25"/>
    <mergeCell ref="E26:K26"/>
    <mergeCell ref="Q26:R26"/>
    <mergeCell ref="E27:K27"/>
    <mergeCell ref="Q27:R27"/>
    <mergeCell ref="C28:D28"/>
    <mergeCell ref="Q28:R28"/>
    <mergeCell ref="C29:D29"/>
    <mergeCell ref="Q29:R29"/>
    <mergeCell ref="D30:M30"/>
    <mergeCell ref="Q30:R30"/>
    <mergeCell ref="E31:K31"/>
    <mergeCell ref="Q31:R31"/>
    <mergeCell ref="E32:K32"/>
    <mergeCell ref="Q32:R32"/>
    <mergeCell ref="E33:K33"/>
    <mergeCell ref="R33:S33"/>
    <mergeCell ref="E36:N36"/>
    <mergeCell ref="E38:F38"/>
    <mergeCell ref="G38:I38"/>
    <mergeCell ref="E39:F39"/>
    <mergeCell ref="G39:I39"/>
    <mergeCell ref="E40:F40"/>
    <mergeCell ref="G40:I40"/>
    <mergeCell ref="E41:F41"/>
    <mergeCell ref="G41:I41"/>
    <mergeCell ref="C7:C9"/>
    <mergeCell ref="C13:C15"/>
    <mergeCell ref="C19:C21"/>
    <mergeCell ref="C25:C27"/>
    <mergeCell ref="C31:C33"/>
    <mergeCell ref="Q4:Q5"/>
    <mergeCell ref="Q6:Q10"/>
    <mergeCell ref="X5:X6"/>
    <mergeCell ref="X7:X8"/>
    <mergeCell ref="X9:X10"/>
    <mergeCell ref="X11:X12"/>
    <mergeCell ref="X13:X14"/>
    <mergeCell ref="X15:X16"/>
    <mergeCell ref="X17:X18"/>
    <mergeCell ref="X19:X20"/>
    <mergeCell ref="X21:X22"/>
    <mergeCell ref="X23:X24"/>
    <mergeCell ref="X25:X26"/>
    <mergeCell ref="X27:X28"/>
    <mergeCell ref="X29:X30"/>
    <mergeCell ref="X31:X32"/>
    <mergeCell ref="X33:X34"/>
    <mergeCell ref="X35:X36"/>
    <mergeCell ref="X37:X38"/>
    <mergeCell ref="Y5:Y6"/>
    <mergeCell ref="Y7:Y8"/>
    <mergeCell ref="Y9:Y10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Z5:Z6"/>
    <mergeCell ref="Z7:Z8"/>
    <mergeCell ref="Z9:Z10"/>
    <mergeCell ref="Z11:Z12"/>
    <mergeCell ref="Z13:Z14"/>
    <mergeCell ref="Z15:Z16"/>
    <mergeCell ref="Z17:Z18"/>
    <mergeCell ref="Z19:Z20"/>
    <mergeCell ref="Z21:Z22"/>
    <mergeCell ref="Z23:Z24"/>
    <mergeCell ref="Z25:Z26"/>
    <mergeCell ref="Z27:Z28"/>
    <mergeCell ref="Z29:Z30"/>
    <mergeCell ref="Z31:Z32"/>
    <mergeCell ref="Z33:Z34"/>
    <mergeCell ref="Z35:Z36"/>
    <mergeCell ref="Z37:Z38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3:AA34"/>
    <mergeCell ref="AA35:AA36"/>
    <mergeCell ref="AA37:AA38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3:AB34"/>
    <mergeCell ref="AB35:AB36"/>
    <mergeCell ref="AB37:AB38"/>
    <mergeCell ref="Q11:T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AO56"/>
  <sheetViews>
    <sheetView workbookViewId="0">
      <selection activeCell="G7" sqref="G7"/>
    </sheetView>
  </sheetViews>
  <sheetFormatPr defaultColWidth="8.86363636363636" defaultRowHeight="14"/>
  <cols>
    <col min="1" max="1" width="8.86363636363636" style="1"/>
    <col min="2" max="2" width="1.8" style="1" customWidth="1"/>
    <col min="3" max="3" width="19.4636363636364" style="1" customWidth="1"/>
    <col min="4" max="4" width="4.8" style="1" customWidth="1"/>
    <col min="5" max="6" width="8.86363636363636" style="1"/>
    <col min="7" max="7" width="30.8" style="1" customWidth="1"/>
    <col min="8" max="9" width="8.86363636363636" style="1"/>
    <col min="10" max="10" width="11.8" style="1" customWidth="1"/>
    <col min="11" max="11" width="1.8" style="1" customWidth="1"/>
    <col min="12" max="12" width="4.8" style="1" customWidth="1"/>
    <col min="13" max="13" width="1.8" style="1" customWidth="1"/>
    <col min="14" max="15" width="8.86363636363636" style="1"/>
    <col min="16" max="16" width="12.8" style="1" customWidth="1"/>
    <col min="17" max="21" width="8.86363636363636" style="1"/>
    <col min="22" max="22" width="12.8" style="1" customWidth="1"/>
    <col min="23" max="24" width="8.86363636363636" style="1"/>
    <col min="25" max="25" width="1.8" style="1" customWidth="1"/>
    <col min="26" max="26" width="4.8" style="1" customWidth="1"/>
    <col min="27" max="27" width="1.8" style="1" customWidth="1"/>
    <col min="28" max="28" width="8.86363636363636" style="1" customWidth="1"/>
    <col min="29" max="29" width="12.8" style="1" customWidth="1"/>
    <col min="30" max="32" width="8.86363636363636" style="1" customWidth="1"/>
    <col min="33" max="33" width="1.8" style="1" customWidth="1"/>
    <col min="34" max="37" width="8.86363636363636" style="1" customWidth="1"/>
    <col min="38" max="16384" width="8.86363636363636" style="1"/>
  </cols>
  <sheetData>
    <row r="2" spans="2:41">
      <c r="B2" s="2" t="s">
        <v>208</v>
      </c>
      <c r="C2" s="18"/>
      <c r="D2" s="18"/>
      <c r="E2" s="4" t="s">
        <v>209</v>
      </c>
      <c r="F2" s="4"/>
      <c r="G2" s="4"/>
      <c r="H2" s="4"/>
      <c r="I2" s="4"/>
      <c r="J2" s="4"/>
      <c r="K2" s="4"/>
      <c r="M2" s="2" t="s">
        <v>210</v>
      </c>
      <c r="N2" s="18"/>
      <c r="O2" s="18"/>
      <c r="P2" s="4" t="s">
        <v>211</v>
      </c>
      <c r="Q2" s="4"/>
      <c r="R2" s="4"/>
      <c r="S2" s="4"/>
      <c r="T2" s="4"/>
      <c r="U2" s="4"/>
      <c r="V2" s="4"/>
      <c r="W2" s="4"/>
      <c r="X2" s="4"/>
      <c r="Y2" s="4"/>
      <c r="AA2" s="2" t="s">
        <v>212</v>
      </c>
      <c r="AB2" s="18"/>
      <c r="AC2" s="18"/>
      <c r="AD2" s="4" t="s">
        <v>211</v>
      </c>
      <c r="AE2" s="4"/>
      <c r="AF2" s="4"/>
      <c r="AG2" s="4"/>
    </row>
    <row r="3" ht="10.05" customHeight="1" spans="2:41">
      <c r="B3" s="6"/>
      <c r="C3" s="6"/>
      <c r="D3" s="6"/>
      <c r="E3" s="6"/>
      <c r="F3" s="6"/>
      <c r="G3" s="6"/>
      <c r="H3" s="6"/>
      <c r="I3" s="6"/>
      <c r="J3" s="6"/>
      <c r="K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AA3" s="33"/>
      <c r="AB3" s="33"/>
      <c r="AC3" s="33"/>
      <c r="AD3" s="33"/>
      <c r="AE3" s="33"/>
      <c r="AF3" s="33"/>
      <c r="AG3" s="33"/>
      <c r="AH3" s="34"/>
      <c r="AI3" s="34"/>
      <c r="AJ3" s="34"/>
      <c r="AK3" s="34"/>
      <c r="AL3" s="34"/>
      <c r="AM3" s="34"/>
      <c r="AN3" s="34"/>
      <c r="AO3" s="34"/>
    </row>
    <row r="4" spans="2:41">
      <c r="B4" s="6"/>
      <c r="C4" s="6"/>
      <c r="D4" s="6"/>
      <c r="E4" s="6"/>
      <c r="F4" s="6"/>
      <c r="G4" s="35"/>
      <c r="H4" s="7" t="s">
        <v>213</v>
      </c>
      <c r="I4" s="7" t="s">
        <v>214</v>
      </c>
      <c r="J4" s="7" t="s">
        <v>215</v>
      </c>
      <c r="K4" s="6"/>
      <c r="M4" s="6"/>
      <c r="N4" s="7" t="s">
        <v>129</v>
      </c>
      <c r="O4" s="7" t="s">
        <v>216</v>
      </c>
      <c r="P4" s="7" t="s">
        <v>217</v>
      </c>
      <c r="Q4" s="7" t="s">
        <v>218</v>
      </c>
      <c r="R4" s="7"/>
      <c r="S4" s="7"/>
      <c r="T4" s="7" t="s">
        <v>219</v>
      </c>
      <c r="U4" s="36" t="s">
        <v>220</v>
      </c>
      <c r="V4" s="36"/>
      <c r="W4" s="36"/>
      <c r="X4" s="36"/>
      <c r="Y4" s="6"/>
      <c r="AA4" s="33"/>
      <c r="AB4" s="19" t="s">
        <v>137</v>
      </c>
      <c r="AC4" s="19" t="s">
        <v>221</v>
      </c>
      <c r="AD4" s="19" t="s">
        <v>104</v>
      </c>
      <c r="AE4" s="19" t="s">
        <v>212</v>
      </c>
      <c r="AF4" s="19"/>
      <c r="AG4" s="33"/>
      <c r="AH4" s="34"/>
      <c r="AI4" s="34"/>
      <c r="AJ4" s="34"/>
      <c r="AK4" s="34"/>
      <c r="AL4" s="34"/>
      <c r="AM4" s="34"/>
      <c r="AN4" s="34"/>
      <c r="AO4" s="34"/>
    </row>
    <row r="5" spans="2:41">
      <c r="B5" s="6"/>
      <c r="C5" s="6"/>
      <c r="D5" s="6"/>
      <c r="E5" s="6"/>
      <c r="F5" s="6"/>
      <c r="G5" s="35"/>
      <c r="H5" s="37">
        <f>SUM(H7:H53)</f>
        <v>0</v>
      </c>
      <c r="I5" s="37">
        <f>SUM(I7:I51)</f>
        <v>0</v>
      </c>
      <c r="J5" s="37">
        <f>SUM(J7:J55)</f>
        <v>0</v>
      </c>
      <c r="K5" s="6"/>
      <c r="M5" s="6"/>
      <c r="N5" s="38">
        <f>人物卡!K30</f>
        <v>0</v>
      </c>
      <c r="O5" s="39">
        <f>人物卡!O30</f>
        <v>10</v>
      </c>
      <c r="P5" s="39" t="str">
        <f>IF(N5=0,"致命伤",IF(N5&lt;O5,IF(N5&lt;O5/2,"重伤","轻伤"),"健康"))</f>
        <v>健康</v>
      </c>
      <c r="Q5" s="40" t="str">
        <f>IF($P$5="健康","无",IF($P$5="轻伤","无",IF($P$5="重伤","所有动作检定-2",IF($P$5="致命伤","所有动作的检定 -4，移速属性 -6（最低剩余 1）",2))))</f>
        <v>无</v>
      </c>
      <c r="R5" s="41"/>
      <c r="S5" s="41"/>
      <c r="T5" s="39" t="str" cm="1">
        <f t="array" ref="T5">IF($P$5="健康","无",IF($P$5="轻伤","10",IF($P$5="重伤","13",IF($P$5="致命伤","15",_xleta.XIRR))))</f>
        <v>无</v>
      </c>
      <c r="U5" s="36"/>
      <c r="V5" s="36"/>
      <c r="W5" s="36"/>
      <c r="X5" s="36"/>
      <c r="Y5" s="6"/>
      <c r="AA5" s="33"/>
      <c r="AB5" s="42">
        <f>人物卡!K32</f>
        <v>0</v>
      </c>
      <c r="AC5" s="42">
        <f>人物卡!O32</f>
        <v>0</v>
      </c>
      <c r="AD5" s="43">
        <f>人物卡!P22</f>
        <v>0</v>
      </c>
      <c r="AE5" s="44" t="str">
        <f>IF(AD5&lt;0,"严重赛博精神病",IF(AD5=0,"赛博精神病",IF(AD5=1,"分离性精神障碍",IF(AD5=2,"边缘分离性精神障碍","健康"))))</f>
        <v>健康</v>
      </c>
      <c r="AF5" s="44"/>
      <c r="AG5" s="45"/>
      <c r="AH5" s="46"/>
      <c r="AI5" s="34"/>
      <c r="AJ5" s="34"/>
      <c r="AK5" s="34"/>
      <c r="AL5" s="34"/>
      <c r="AM5" s="34"/>
      <c r="AN5" s="34"/>
      <c r="AO5" s="34"/>
    </row>
    <row r="6" spans="2:41">
      <c r="B6" s="6"/>
      <c r="C6" s="7" t="s">
        <v>222</v>
      </c>
      <c r="D6" s="7" t="s">
        <v>223</v>
      </c>
      <c r="E6" s="7" t="s">
        <v>224</v>
      </c>
      <c r="F6" s="7" t="s">
        <v>225</v>
      </c>
      <c r="G6" s="7" t="s">
        <v>226</v>
      </c>
      <c r="H6" s="7" t="s">
        <v>173</v>
      </c>
      <c r="I6" s="7" t="s">
        <v>174</v>
      </c>
      <c r="J6" s="7" t="s">
        <v>227</v>
      </c>
      <c r="K6" s="6"/>
      <c r="M6" s="6"/>
      <c r="N6" s="47"/>
      <c r="O6" s="38"/>
      <c r="P6" s="38"/>
      <c r="Q6" s="40"/>
      <c r="R6" s="41"/>
      <c r="S6" s="41"/>
      <c r="T6" s="38"/>
      <c r="U6" s="36"/>
      <c r="V6" s="36"/>
      <c r="W6" s="36"/>
      <c r="X6" s="36"/>
      <c r="Y6" s="6"/>
      <c r="AA6" s="33"/>
      <c r="AB6" s="12" t="s">
        <v>228</v>
      </c>
      <c r="AC6" s="12"/>
      <c r="AD6" s="48"/>
      <c r="AE6" s="44"/>
      <c r="AF6" s="44"/>
      <c r="AG6" s="45"/>
      <c r="AH6" s="46"/>
      <c r="AI6" s="34"/>
      <c r="AJ6" s="34"/>
      <c r="AK6" s="34"/>
      <c r="AL6" s="34"/>
      <c r="AM6" s="34"/>
      <c r="AN6" s="34"/>
      <c r="AO6" s="34"/>
    </row>
    <row r="7" spans="2:41">
      <c r="B7" s="6"/>
      <c r="C7" s="49"/>
      <c r="D7" s="49"/>
      <c r="E7" s="49"/>
      <c r="F7" s="49"/>
      <c r="G7" s="49"/>
      <c r="H7" s="49"/>
      <c r="I7" s="49"/>
      <c r="J7" s="49"/>
      <c r="K7" s="6"/>
      <c r="M7" s="6"/>
      <c r="N7" s="12" t="s">
        <v>229</v>
      </c>
      <c r="O7" s="12"/>
      <c r="P7" s="12"/>
      <c r="Q7" s="12"/>
      <c r="R7" s="12"/>
      <c r="S7" s="12"/>
      <c r="T7" s="7"/>
      <c r="U7" s="7"/>
      <c r="V7" s="7"/>
      <c r="W7" s="7"/>
      <c r="X7" s="7"/>
      <c r="Y7" s="6"/>
      <c r="AA7" s="33"/>
      <c r="AB7" s="19" t="s">
        <v>230</v>
      </c>
      <c r="AC7" s="19"/>
      <c r="AD7" s="50" t="s">
        <v>231</v>
      </c>
      <c r="AE7" s="33"/>
      <c r="AF7" s="51"/>
      <c r="AG7" s="45"/>
      <c r="AH7" s="46"/>
      <c r="AI7" s="34"/>
      <c r="AJ7" s="34"/>
      <c r="AK7" s="34"/>
      <c r="AL7" s="34"/>
      <c r="AM7" s="34"/>
      <c r="AN7" s="34"/>
      <c r="AO7" s="34"/>
    </row>
    <row r="8" spans="2:41">
      <c r="B8" s="6"/>
      <c r="C8" s="49"/>
      <c r="D8" s="49"/>
      <c r="E8" s="49"/>
      <c r="F8" s="49"/>
      <c r="G8" s="49"/>
      <c r="H8" s="49"/>
      <c r="I8" s="49"/>
      <c r="J8" s="49"/>
      <c r="K8" s="6"/>
      <c r="M8" s="6"/>
      <c r="N8" s="19" t="s">
        <v>232</v>
      </c>
      <c r="O8" s="19" t="s">
        <v>233</v>
      </c>
      <c r="P8" s="19" t="s">
        <v>147</v>
      </c>
      <c r="Q8" s="19" t="s">
        <v>218</v>
      </c>
      <c r="R8" s="19"/>
      <c r="S8" s="19"/>
      <c r="T8" s="19"/>
      <c r="U8" s="19"/>
      <c r="V8" s="19" t="s">
        <v>234</v>
      </c>
      <c r="W8" s="19" t="s">
        <v>235</v>
      </c>
      <c r="X8" s="19"/>
      <c r="Y8" s="6"/>
      <c r="AA8" s="33"/>
      <c r="AB8" s="44" t="s">
        <v>236</v>
      </c>
      <c r="AC8" s="44"/>
      <c r="AD8" s="44">
        <f>-J5</f>
        <v>0</v>
      </c>
      <c r="AE8" s="33"/>
      <c r="AF8" s="51"/>
      <c r="AG8" s="45"/>
      <c r="AH8" s="46"/>
      <c r="AI8" s="34"/>
      <c r="AJ8" s="34"/>
      <c r="AK8" s="34"/>
      <c r="AL8" s="34"/>
      <c r="AM8" s="34"/>
      <c r="AN8" s="34"/>
      <c r="AO8" s="34"/>
    </row>
    <row r="9" spans="2:41">
      <c r="B9" s="6"/>
      <c r="C9" s="49"/>
      <c r="D9" s="49"/>
      <c r="E9" s="49"/>
      <c r="F9" s="49"/>
      <c r="G9" s="49"/>
      <c r="H9" s="49"/>
      <c r="I9" s="49"/>
      <c r="J9" s="49"/>
      <c r="K9" s="6"/>
      <c r="M9" s="6"/>
      <c r="N9" s="30" t="s">
        <v>237</v>
      </c>
      <c r="O9" s="47">
        <v>2</v>
      </c>
      <c r="P9" s="52" t="s">
        <v>238</v>
      </c>
      <c r="Q9" s="53" t="s">
        <v>239</v>
      </c>
      <c r="R9" s="53"/>
      <c r="S9" s="53"/>
      <c r="T9" s="53"/>
      <c r="U9" s="53"/>
      <c r="V9" s="52" t="s">
        <v>240</v>
      </c>
      <c r="W9" s="52" t="s">
        <v>241</v>
      </c>
      <c r="X9" s="52"/>
      <c r="Y9" s="6"/>
      <c r="AA9" s="33"/>
      <c r="AB9" s="54"/>
      <c r="AC9" s="54"/>
      <c r="AD9" s="54"/>
      <c r="AE9" s="33"/>
      <c r="AF9" s="51"/>
      <c r="AG9" s="45"/>
      <c r="AH9" s="46"/>
      <c r="AI9" s="34"/>
      <c r="AJ9" s="34"/>
      <c r="AK9" s="34"/>
      <c r="AL9" s="34"/>
      <c r="AM9" s="34"/>
      <c r="AN9" s="34"/>
      <c r="AO9" s="34"/>
    </row>
    <row r="10" spans="2:41">
      <c r="B10" s="6"/>
      <c r="C10" s="49"/>
      <c r="D10" s="49"/>
      <c r="E10" s="49"/>
      <c r="F10" s="49"/>
      <c r="G10" s="49"/>
      <c r="H10" s="49"/>
      <c r="I10" s="49"/>
      <c r="J10" s="49"/>
      <c r="K10" s="6"/>
      <c r="M10" s="6"/>
      <c r="N10" s="30"/>
      <c r="O10" s="47"/>
      <c r="P10" s="52"/>
      <c r="Q10" s="53"/>
      <c r="R10" s="53"/>
      <c r="S10" s="53"/>
      <c r="T10" s="53"/>
      <c r="U10" s="53"/>
      <c r="V10" s="52"/>
      <c r="W10" s="52"/>
      <c r="X10" s="52"/>
      <c r="Y10" s="6"/>
      <c r="AA10" s="33"/>
      <c r="AB10" s="54"/>
      <c r="AC10" s="54"/>
      <c r="AD10" s="54"/>
      <c r="AE10" s="33"/>
      <c r="AF10" s="51"/>
      <c r="AG10" s="45"/>
      <c r="AH10" s="46"/>
      <c r="AI10" s="34"/>
      <c r="AJ10" s="34"/>
      <c r="AK10" s="34"/>
      <c r="AL10" s="34"/>
      <c r="AM10" s="34"/>
      <c r="AN10" s="34"/>
      <c r="AO10" s="34"/>
    </row>
    <row r="11" spans="2:41">
      <c r="B11" s="6"/>
      <c r="C11" s="49"/>
      <c r="D11" s="49"/>
      <c r="E11" s="49"/>
      <c r="F11" s="49"/>
      <c r="G11" s="49"/>
      <c r="H11" s="49"/>
      <c r="I11" s="49"/>
      <c r="J11" s="49"/>
      <c r="K11" s="6"/>
      <c r="M11" s="6"/>
      <c r="N11" s="30" t="s">
        <v>237</v>
      </c>
      <c r="O11" s="47">
        <v>3</v>
      </c>
      <c r="P11" s="52" t="s">
        <v>242</v>
      </c>
      <c r="Q11" s="53" t="s">
        <v>243</v>
      </c>
      <c r="R11" s="53"/>
      <c r="S11" s="53"/>
      <c r="T11" s="53"/>
      <c r="U11" s="53"/>
      <c r="V11" s="52" t="s">
        <v>240</v>
      </c>
      <c r="W11" s="52" t="s">
        <v>241</v>
      </c>
      <c r="X11" s="52"/>
      <c r="Y11" s="6"/>
      <c r="AA11" s="33"/>
      <c r="AB11" s="54"/>
      <c r="AC11" s="54"/>
      <c r="AD11" s="54"/>
      <c r="AE11" s="33"/>
      <c r="AF11" s="51"/>
      <c r="AG11" s="45"/>
      <c r="AH11" s="46"/>
      <c r="AI11" s="34"/>
      <c r="AJ11" s="34"/>
      <c r="AK11" s="34"/>
      <c r="AL11" s="34"/>
      <c r="AM11" s="34"/>
      <c r="AN11" s="34"/>
      <c r="AO11" s="34"/>
    </row>
    <row r="12" spans="2:41">
      <c r="B12" s="6"/>
      <c r="C12" s="49"/>
      <c r="D12" s="49"/>
      <c r="E12" s="49"/>
      <c r="F12" s="49"/>
      <c r="G12" s="49"/>
      <c r="H12" s="49"/>
      <c r="I12" s="49"/>
      <c r="J12" s="49"/>
      <c r="K12" s="6"/>
      <c r="M12" s="6"/>
      <c r="N12" s="30"/>
      <c r="O12" s="47"/>
      <c r="P12" s="52"/>
      <c r="Q12" s="53"/>
      <c r="R12" s="53"/>
      <c r="S12" s="53"/>
      <c r="T12" s="53"/>
      <c r="U12" s="53"/>
      <c r="V12" s="52"/>
      <c r="W12" s="52"/>
      <c r="X12" s="52"/>
      <c r="Y12" s="6"/>
      <c r="AA12" s="33"/>
      <c r="AB12" s="54"/>
      <c r="AC12" s="54"/>
      <c r="AD12" s="54"/>
      <c r="AE12" s="33"/>
      <c r="AF12" s="51"/>
      <c r="AG12" s="45"/>
      <c r="AH12" s="46"/>
      <c r="AI12" s="34"/>
      <c r="AJ12" s="34"/>
      <c r="AK12" s="34"/>
      <c r="AL12" s="34"/>
      <c r="AM12" s="34"/>
      <c r="AN12" s="34"/>
      <c r="AO12" s="34"/>
    </row>
    <row r="13" spans="2:41">
      <c r="B13" s="6"/>
      <c r="C13" s="49"/>
      <c r="D13" s="49"/>
      <c r="E13" s="49"/>
      <c r="F13" s="49"/>
      <c r="G13" s="49"/>
      <c r="H13" s="49"/>
      <c r="I13" s="49"/>
      <c r="J13" s="49"/>
      <c r="K13" s="6"/>
      <c r="M13" s="6"/>
      <c r="N13" s="30" t="s">
        <v>237</v>
      </c>
      <c r="O13" s="47">
        <v>4</v>
      </c>
      <c r="P13" s="52" t="s">
        <v>244</v>
      </c>
      <c r="Q13" s="53" t="s">
        <v>245</v>
      </c>
      <c r="R13" s="53"/>
      <c r="S13" s="53"/>
      <c r="T13" s="53"/>
      <c r="U13" s="53"/>
      <c r="V13" s="52" t="s">
        <v>246</v>
      </c>
      <c r="W13" s="52" t="s">
        <v>247</v>
      </c>
      <c r="X13" s="52"/>
      <c r="Y13" s="6"/>
      <c r="AA13" s="33"/>
      <c r="AB13" s="54"/>
      <c r="AC13" s="54"/>
      <c r="AD13" s="54"/>
      <c r="AE13" s="33"/>
      <c r="AF13" s="51"/>
      <c r="AG13" s="45"/>
      <c r="AH13" s="46"/>
      <c r="AI13" s="34"/>
      <c r="AJ13" s="34"/>
      <c r="AK13" s="34"/>
      <c r="AL13" s="34"/>
      <c r="AM13" s="34"/>
      <c r="AN13" s="34"/>
      <c r="AO13" s="34"/>
    </row>
    <row r="14" spans="2:41">
      <c r="B14" s="6"/>
      <c r="C14" s="49"/>
      <c r="D14" s="49"/>
      <c r="E14" s="49"/>
      <c r="F14" s="49"/>
      <c r="G14" s="49"/>
      <c r="H14" s="49"/>
      <c r="I14" s="49"/>
      <c r="J14" s="49"/>
      <c r="K14" s="6"/>
      <c r="M14" s="6"/>
      <c r="N14" s="30"/>
      <c r="O14" s="47"/>
      <c r="P14" s="52"/>
      <c r="Q14" s="53"/>
      <c r="R14" s="53"/>
      <c r="S14" s="53"/>
      <c r="T14" s="53"/>
      <c r="U14" s="53"/>
      <c r="V14" s="52"/>
      <c r="W14" s="52"/>
      <c r="X14" s="52"/>
      <c r="Y14" s="6"/>
      <c r="AA14" s="33"/>
      <c r="AB14" s="54"/>
      <c r="AC14" s="54"/>
      <c r="AD14" s="54"/>
      <c r="AE14" s="33"/>
      <c r="AF14" s="51"/>
      <c r="AG14" s="45"/>
      <c r="AH14" s="46"/>
      <c r="AI14" s="34"/>
      <c r="AJ14" s="34"/>
      <c r="AK14" s="34"/>
      <c r="AL14" s="34"/>
      <c r="AM14" s="34"/>
      <c r="AN14" s="34"/>
      <c r="AO14" s="34"/>
    </row>
    <row r="15" spans="2:41">
      <c r="B15" s="6"/>
      <c r="C15" s="49"/>
      <c r="D15" s="49"/>
      <c r="E15" s="49"/>
      <c r="F15" s="49"/>
      <c r="G15" s="49"/>
      <c r="H15" s="49"/>
      <c r="J15" s="49"/>
      <c r="K15" s="6"/>
      <c r="M15" s="6"/>
      <c r="N15" s="30" t="s">
        <v>237</v>
      </c>
      <c r="O15" s="47">
        <v>5</v>
      </c>
      <c r="P15" s="52" t="s">
        <v>248</v>
      </c>
      <c r="Q15" s="53" t="s">
        <v>249</v>
      </c>
      <c r="R15" s="53"/>
      <c r="S15" s="53"/>
      <c r="T15" s="53"/>
      <c r="U15" s="53"/>
      <c r="V15" s="52" t="s">
        <v>250</v>
      </c>
      <c r="W15" s="55" t="s">
        <v>251</v>
      </c>
      <c r="X15" s="55"/>
      <c r="Y15" s="6"/>
      <c r="AA15" s="33"/>
      <c r="AB15" s="54"/>
      <c r="AC15" s="54"/>
      <c r="AD15" s="54"/>
      <c r="AE15" s="33"/>
      <c r="AF15" s="51"/>
      <c r="AG15" s="45"/>
      <c r="AH15" s="46"/>
      <c r="AI15" s="34"/>
      <c r="AJ15" s="34"/>
      <c r="AK15" s="34"/>
      <c r="AL15" s="34"/>
      <c r="AM15" s="34"/>
      <c r="AN15" s="34"/>
      <c r="AO15" s="34"/>
    </row>
    <row r="16" spans="2:41">
      <c r="B16" s="6"/>
      <c r="C16" s="49"/>
      <c r="D16" s="49"/>
      <c r="E16" s="49"/>
      <c r="F16" s="49"/>
      <c r="G16" s="49"/>
      <c r="H16" s="49"/>
      <c r="J16" s="49"/>
      <c r="K16" s="6"/>
      <c r="M16" s="6"/>
      <c r="N16" s="30"/>
      <c r="O16" s="47"/>
      <c r="P16" s="52"/>
      <c r="Q16" s="53"/>
      <c r="R16" s="53"/>
      <c r="S16" s="53"/>
      <c r="T16" s="53"/>
      <c r="U16" s="53"/>
      <c r="V16" s="52"/>
      <c r="W16" s="55"/>
      <c r="X16" s="55"/>
      <c r="Y16" s="6"/>
      <c r="AA16" s="33"/>
      <c r="AB16" s="54"/>
      <c r="AC16" s="54"/>
      <c r="AD16" s="54"/>
      <c r="AE16" s="33"/>
      <c r="AF16" s="51"/>
      <c r="AG16" s="45"/>
      <c r="AH16" s="46"/>
      <c r="AI16" s="34"/>
      <c r="AJ16" s="34"/>
      <c r="AK16" s="34"/>
      <c r="AL16" s="34"/>
      <c r="AM16" s="34"/>
      <c r="AN16" s="34"/>
      <c r="AO16" s="34"/>
    </row>
    <row r="17" spans="2:41">
      <c r="B17" s="6"/>
      <c r="J17" s="49"/>
      <c r="K17" s="6"/>
      <c r="M17" s="6"/>
      <c r="N17" s="30" t="s">
        <v>237</v>
      </c>
      <c r="O17" s="47">
        <v>6</v>
      </c>
      <c r="P17" s="52" t="s">
        <v>252</v>
      </c>
      <c r="Q17" s="53" t="s">
        <v>253</v>
      </c>
      <c r="R17" s="53"/>
      <c r="S17" s="53"/>
      <c r="T17" s="53"/>
      <c r="U17" s="53"/>
      <c r="V17" s="52" t="s">
        <v>250</v>
      </c>
      <c r="W17" s="55" t="s">
        <v>251</v>
      </c>
      <c r="X17" s="55"/>
      <c r="Y17" s="6"/>
      <c r="AA17" s="33"/>
      <c r="AB17" s="33"/>
      <c r="AC17" s="51"/>
      <c r="AD17" s="51"/>
      <c r="AE17" s="33"/>
      <c r="AF17" s="51"/>
      <c r="AG17" s="45"/>
      <c r="AH17" s="46"/>
      <c r="AI17" s="34"/>
      <c r="AJ17" s="34"/>
      <c r="AK17" s="34"/>
      <c r="AL17" s="34"/>
      <c r="AM17" s="34"/>
      <c r="AN17" s="34"/>
      <c r="AO17" s="34"/>
    </row>
    <row r="18" spans="2:41">
      <c r="B18" s="6"/>
      <c r="J18" s="49"/>
      <c r="K18" s="6"/>
      <c r="M18" s="6"/>
      <c r="N18" s="30"/>
      <c r="O18" s="47"/>
      <c r="P18" s="52"/>
      <c r="Q18" s="53"/>
      <c r="R18" s="53"/>
      <c r="S18" s="53"/>
      <c r="T18" s="53"/>
      <c r="U18" s="53"/>
      <c r="V18" s="52"/>
      <c r="W18" s="55"/>
      <c r="X18" s="55"/>
      <c r="Y18" s="6"/>
      <c r="AA18" s="34"/>
      <c r="AB18" s="34"/>
      <c r="AC18" s="56"/>
      <c r="AD18" s="56"/>
      <c r="AE18" s="34"/>
      <c r="AF18" s="56"/>
      <c r="AG18" s="46"/>
      <c r="AH18" s="46"/>
      <c r="AI18" s="34"/>
      <c r="AJ18" s="34"/>
      <c r="AK18" s="34"/>
      <c r="AL18" s="34"/>
      <c r="AM18" s="34"/>
      <c r="AN18" s="34"/>
      <c r="AO18" s="34"/>
    </row>
    <row r="19" spans="2:41">
      <c r="B19" s="6"/>
      <c r="K19" s="6"/>
      <c r="M19" s="6"/>
      <c r="N19" s="30" t="s">
        <v>237</v>
      </c>
      <c r="O19" s="47">
        <v>7</v>
      </c>
      <c r="P19" s="52" t="s">
        <v>254</v>
      </c>
      <c r="Q19" s="53" t="s">
        <v>249</v>
      </c>
      <c r="R19" s="53"/>
      <c r="S19" s="53"/>
      <c r="T19" s="53"/>
      <c r="U19" s="53"/>
      <c r="V19" s="52" t="s">
        <v>255</v>
      </c>
      <c r="W19" s="52" t="s">
        <v>256</v>
      </c>
      <c r="X19" s="52"/>
      <c r="Y19" s="6"/>
      <c r="AA19" s="2" t="s">
        <v>257</v>
      </c>
      <c r="AB19" s="18"/>
      <c r="AC19" s="18"/>
      <c r="AD19" s="56"/>
      <c r="AE19" s="34"/>
      <c r="AF19" s="56"/>
      <c r="AG19" s="46"/>
      <c r="AH19" s="46"/>
      <c r="AI19" s="34"/>
      <c r="AJ19" s="34"/>
      <c r="AK19" s="34"/>
      <c r="AL19" s="34"/>
      <c r="AM19" s="34"/>
      <c r="AN19" s="34"/>
      <c r="AO19" s="34"/>
    </row>
    <row r="20" spans="2:41">
      <c r="B20" s="6"/>
      <c r="K20" s="6"/>
      <c r="M20" s="6"/>
      <c r="N20" s="30"/>
      <c r="O20" s="47"/>
      <c r="P20" s="52"/>
      <c r="Q20" s="53"/>
      <c r="R20" s="53"/>
      <c r="S20" s="53"/>
      <c r="T20" s="53"/>
      <c r="U20" s="53"/>
      <c r="V20" s="52"/>
      <c r="W20" s="52"/>
      <c r="X20" s="52"/>
      <c r="Y20" s="6"/>
      <c r="AA20" s="33"/>
      <c r="AB20" s="33"/>
      <c r="AC20" s="33"/>
      <c r="AD20" s="33"/>
      <c r="AE20" s="33"/>
      <c r="AF20" s="33"/>
      <c r="AG20" s="33"/>
      <c r="AH20" s="34"/>
      <c r="AI20" s="34"/>
      <c r="AJ20" s="34"/>
      <c r="AK20" s="34"/>
      <c r="AL20" s="34"/>
      <c r="AM20" s="34"/>
      <c r="AN20" s="34"/>
      <c r="AO20" s="34"/>
    </row>
    <row r="21" spans="2:41">
      <c r="B21" s="6"/>
      <c r="K21" s="6"/>
      <c r="M21" s="6"/>
      <c r="N21" s="30" t="s">
        <v>237</v>
      </c>
      <c r="O21" s="47">
        <v>8</v>
      </c>
      <c r="P21" s="52" t="s">
        <v>258</v>
      </c>
      <c r="Q21" s="53" t="s">
        <v>259</v>
      </c>
      <c r="R21" s="53"/>
      <c r="S21" s="53"/>
      <c r="T21" s="53"/>
      <c r="U21" s="53"/>
      <c r="V21" s="52" t="s">
        <v>250</v>
      </c>
      <c r="W21" s="55" t="s">
        <v>251</v>
      </c>
      <c r="X21" s="55"/>
      <c r="Y21" s="6"/>
      <c r="AA21" s="33"/>
      <c r="AB21" s="7" t="s">
        <v>260</v>
      </c>
      <c r="AC21" s="7" t="s">
        <v>261</v>
      </c>
      <c r="AD21" s="7" t="s">
        <v>143</v>
      </c>
      <c r="AE21" s="7"/>
      <c r="AF21" s="7"/>
      <c r="AG21" s="33"/>
      <c r="AH21" s="34"/>
      <c r="AI21" s="34"/>
      <c r="AJ21" s="34"/>
      <c r="AK21" s="34"/>
      <c r="AL21" s="34"/>
      <c r="AM21" s="34"/>
      <c r="AN21" s="34"/>
      <c r="AO21" s="34"/>
    </row>
    <row r="22" spans="2:41">
      <c r="B22" s="6"/>
      <c r="K22" s="6"/>
      <c r="M22" s="6"/>
      <c r="N22" s="30"/>
      <c r="O22" s="47"/>
      <c r="P22" s="52"/>
      <c r="Q22" s="53"/>
      <c r="R22" s="53"/>
      <c r="S22" s="53"/>
      <c r="T22" s="53"/>
      <c r="U22" s="53"/>
      <c r="V22" s="52"/>
      <c r="W22" s="55"/>
      <c r="X22" s="55"/>
      <c r="Y22" s="6"/>
      <c r="AA22" s="33"/>
      <c r="AB22" s="57"/>
      <c r="AC22" s="57"/>
      <c r="AD22" s="57"/>
      <c r="AE22" s="57"/>
      <c r="AF22" s="57"/>
      <c r="AG22" s="33"/>
      <c r="AH22" s="34"/>
      <c r="AI22" s="34"/>
      <c r="AJ22" s="34"/>
      <c r="AK22" s="34"/>
      <c r="AL22" s="34"/>
      <c r="AM22" s="34"/>
      <c r="AN22" s="34"/>
      <c r="AO22" s="34"/>
    </row>
    <row r="23" spans="2:41">
      <c r="B23" s="6"/>
      <c r="K23" s="6"/>
      <c r="M23" s="6"/>
      <c r="N23" s="30" t="s">
        <v>237</v>
      </c>
      <c r="O23" s="47">
        <v>9</v>
      </c>
      <c r="P23" s="52" t="s">
        <v>262</v>
      </c>
      <c r="Q23" s="53" t="s">
        <v>263</v>
      </c>
      <c r="R23" s="53"/>
      <c r="S23" s="53"/>
      <c r="T23" s="53"/>
      <c r="U23" s="53"/>
      <c r="V23" s="52" t="s">
        <v>255</v>
      </c>
      <c r="W23" s="52" t="s">
        <v>256</v>
      </c>
      <c r="X23" s="52"/>
      <c r="Y23" s="6"/>
      <c r="AA23" s="33"/>
      <c r="AB23" s="54"/>
      <c r="AC23" s="54"/>
      <c r="AD23" s="54"/>
      <c r="AE23" s="54"/>
      <c r="AF23" s="54"/>
      <c r="AG23" s="33"/>
      <c r="AH23" s="34"/>
      <c r="AI23" s="34"/>
      <c r="AJ23" s="34"/>
      <c r="AK23" s="34"/>
      <c r="AL23" s="34"/>
      <c r="AM23" s="34"/>
      <c r="AN23" s="34"/>
      <c r="AO23" s="34"/>
    </row>
    <row r="24" spans="2:41">
      <c r="B24" s="6"/>
      <c r="K24" s="6"/>
      <c r="M24" s="6"/>
      <c r="N24" s="30"/>
      <c r="O24" s="47"/>
      <c r="P24" s="52"/>
      <c r="Q24" s="53"/>
      <c r="R24" s="53"/>
      <c r="S24" s="53"/>
      <c r="T24" s="53"/>
      <c r="U24" s="53"/>
      <c r="V24" s="52"/>
      <c r="W24" s="52"/>
      <c r="X24" s="52"/>
      <c r="Y24" s="6"/>
      <c r="AA24" s="33"/>
      <c r="AB24" s="54"/>
      <c r="AC24" s="54"/>
      <c r="AD24" s="54"/>
      <c r="AE24" s="54"/>
      <c r="AF24" s="54"/>
      <c r="AG24" s="33"/>
      <c r="AH24" s="34"/>
      <c r="AI24" s="34"/>
      <c r="AJ24" s="34"/>
      <c r="AK24" s="34"/>
      <c r="AL24" s="34"/>
      <c r="AM24" s="34"/>
      <c r="AN24" s="34"/>
      <c r="AO24" s="34"/>
    </row>
    <row r="25" spans="2:41">
      <c r="B25" s="6"/>
      <c r="K25" s="6"/>
      <c r="M25" s="6"/>
      <c r="N25" s="30" t="s">
        <v>237</v>
      </c>
      <c r="O25" s="47">
        <v>10</v>
      </c>
      <c r="P25" s="52" t="s">
        <v>264</v>
      </c>
      <c r="Q25" s="53" t="s">
        <v>265</v>
      </c>
      <c r="R25" s="53"/>
      <c r="S25" s="53"/>
      <c r="T25" s="53"/>
      <c r="U25" s="53"/>
      <c r="V25" s="52" t="s">
        <v>246</v>
      </c>
      <c r="W25" s="52" t="s">
        <v>247</v>
      </c>
      <c r="X25" s="52"/>
      <c r="Y25" s="6"/>
      <c r="AA25" s="33"/>
      <c r="AB25" s="54"/>
      <c r="AC25" s="54"/>
      <c r="AD25" s="54"/>
      <c r="AE25" s="54"/>
      <c r="AF25" s="54"/>
      <c r="AG25" s="33"/>
      <c r="AH25" s="34"/>
      <c r="AI25" s="34"/>
      <c r="AJ25" s="34"/>
      <c r="AK25" s="34"/>
      <c r="AL25" s="34"/>
      <c r="AM25" s="34"/>
      <c r="AN25" s="34"/>
      <c r="AO25" s="34"/>
    </row>
    <row r="26" spans="2:41">
      <c r="B26" s="6"/>
      <c r="K26" s="6"/>
      <c r="M26" s="6"/>
      <c r="N26" s="30"/>
      <c r="O26" s="47"/>
      <c r="P26" s="52"/>
      <c r="Q26" s="53"/>
      <c r="R26" s="53"/>
      <c r="S26" s="53"/>
      <c r="T26" s="53"/>
      <c r="U26" s="53"/>
      <c r="V26" s="52"/>
      <c r="W26" s="52"/>
      <c r="X26" s="52"/>
      <c r="Y26" s="6"/>
      <c r="AA26" s="33"/>
      <c r="AB26" s="54"/>
      <c r="AC26" s="54"/>
      <c r="AD26" s="54"/>
      <c r="AE26" s="54"/>
      <c r="AF26" s="54"/>
      <c r="AG26" s="33"/>
      <c r="AH26" s="34"/>
      <c r="AI26" s="34"/>
      <c r="AJ26" s="34"/>
      <c r="AK26" s="34"/>
      <c r="AL26" s="34"/>
      <c r="AM26" s="34"/>
      <c r="AN26" s="34"/>
      <c r="AO26" s="34"/>
    </row>
    <row r="27" spans="2:41">
      <c r="B27" s="6"/>
      <c r="K27" s="6"/>
      <c r="M27" s="6"/>
      <c r="N27" s="30" t="s">
        <v>237</v>
      </c>
      <c r="O27" s="47">
        <v>11</v>
      </c>
      <c r="P27" s="52" t="s">
        <v>266</v>
      </c>
      <c r="Q27" s="53" t="s">
        <v>267</v>
      </c>
      <c r="R27" s="53"/>
      <c r="S27" s="53"/>
      <c r="T27" s="53"/>
      <c r="U27" s="53"/>
      <c r="V27" s="52" t="s">
        <v>250</v>
      </c>
      <c r="W27" s="52" t="s">
        <v>247</v>
      </c>
      <c r="X27" s="52"/>
      <c r="Y27" s="6"/>
      <c r="AA27" s="33"/>
      <c r="AB27" s="54"/>
      <c r="AC27" s="54"/>
      <c r="AD27" s="54"/>
      <c r="AE27" s="54"/>
      <c r="AF27" s="54"/>
      <c r="AG27" s="33"/>
      <c r="AH27" s="34"/>
      <c r="AI27" s="34"/>
      <c r="AJ27" s="34"/>
      <c r="AK27" s="34"/>
      <c r="AL27" s="34"/>
      <c r="AM27" s="34"/>
      <c r="AN27" s="34"/>
      <c r="AO27" s="34"/>
    </row>
    <row r="28" spans="2:41">
      <c r="B28" s="6"/>
      <c r="K28" s="6"/>
      <c r="M28" s="6"/>
      <c r="N28" s="30"/>
      <c r="O28" s="47"/>
      <c r="P28" s="52"/>
      <c r="Q28" s="53"/>
      <c r="R28" s="53"/>
      <c r="S28" s="53"/>
      <c r="T28" s="53"/>
      <c r="U28" s="53"/>
      <c r="V28" s="52"/>
      <c r="W28" s="52"/>
      <c r="X28" s="52"/>
      <c r="Y28" s="6"/>
      <c r="AA28" s="33"/>
      <c r="AB28" s="54"/>
      <c r="AC28" s="54"/>
      <c r="AD28" s="54"/>
      <c r="AE28" s="54"/>
      <c r="AF28" s="54"/>
      <c r="AG28" s="33"/>
      <c r="AH28" s="34"/>
      <c r="AI28" s="34"/>
      <c r="AJ28" s="34"/>
      <c r="AK28" s="34"/>
      <c r="AL28" s="34"/>
      <c r="AM28" s="34"/>
      <c r="AN28" s="34"/>
      <c r="AO28" s="34"/>
    </row>
    <row r="29" spans="2:41">
      <c r="B29" s="6"/>
      <c r="K29" s="6"/>
      <c r="M29" s="6"/>
      <c r="N29" s="30" t="s">
        <v>237</v>
      </c>
      <c r="O29" s="47">
        <v>12</v>
      </c>
      <c r="P29" s="52" t="s">
        <v>268</v>
      </c>
      <c r="Q29" s="53" t="s">
        <v>269</v>
      </c>
      <c r="R29" s="53"/>
      <c r="S29" s="53"/>
      <c r="T29" s="53"/>
      <c r="U29" s="53"/>
      <c r="V29" s="52" t="s">
        <v>240</v>
      </c>
      <c r="W29" s="52" t="s">
        <v>241</v>
      </c>
      <c r="X29" s="52"/>
      <c r="Y29" s="6"/>
      <c r="AA29" s="33"/>
      <c r="AB29" s="54"/>
      <c r="AC29" s="54"/>
      <c r="AD29" s="54"/>
      <c r="AE29" s="54"/>
      <c r="AF29" s="54"/>
      <c r="AG29" s="33"/>
      <c r="AH29" s="34"/>
      <c r="AI29" s="34"/>
      <c r="AJ29" s="34"/>
      <c r="AK29" s="34"/>
      <c r="AL29" s="34"/>
      <c r="AM29" s="34"/>
      <c r="AN29" s="34"/>
      <c r="AO29" s="34"/>
    </row>
    <row r="30" spans="2:41">
      <c r="B30" s="6"/>
      <c r="K30" s="6"/>
      <c r="M30" s="6"/>
      <c r="N30" s="30"/>
      <c r="O30" s="47"/>
      <c r="P30" s="52"/>
      <c r="Q30" s="53"/>
      <c r="R30" s="53"/>
      <c r="S30" s="53"/>
      <c r="T30" s="53"/>
      <c r="U30" s="53"/>
      <c r="V30" s="52"/>
      <c r="W30" s="52"/>
      <c r="X30" s="52"/>
      <c r="Y30" s="6"/>
      <c r="AA30" s="33"/>
      <c r="AB30" s="54"/>
      <c r="AC30" s="54"/>
      <c r="AD30" s="54"/>
      <c r="AE30" s="54"/>
      <c r="AF30" s="54"/>
      <c r="AG30" s="33"/>
      <c r="AH30" s="34"/>
      <c r="AI30" s="34"/>
      <c r="AJ30" s="34"/>
      <c r="AK30" s="34"/>
      <c r="AL30" s="34"/>
      <c r="AM30" s="34"/>
      <c r="AN30" s="34"/>
      <c r="AO30" s="34"/>
    </row>
    <row r="31" spans="2:41">
      <c r="B31" s="6"/>
      <c r="K31" s="6"/>
      <c r="M31" s="6"/>
      <c r="N31" s="12" t="s">
        <v>270</v>
      </c>
      <c r="O31" s="12"/>
      <c r="P31" s="12"/>
      <c r="Q31" s="12"/>
      <c r="R31" s="12"/>
      <c r="S31" s="7"/>
      <c r="T31" s="7"/>
      <c r="U31" s="7"/>
      <c r="V31" s="7"/>
      <c r="W31" s="7"/>
      <c r="X31" s="7"/>
      <c r="Y31" s="6"/>
      <c r="AA31" s="33"/>
      <c r="AB31" s="54"/>
      <c r="AC31" s="54"/>
      <c r="AD31" s="54"/>
      <c r="AE31" s="54"/>
      <c r="AF31" s="54"/>
      <c r="AG31" s="33"/>
      <c r="AH31" s="34"/>
      <c r="AI31" s="34"/>
      <c r="AJ31" s="34"/>
      <c r="AK31" s="34"/>
      <c r="AL31" s="34"/>
      <c r="AM31" s="34"/>
      <c r="AN31" s="34"/>
      <c r="AO31" s="34"/>
    </row>
    <row r="32" spans="2:41">
      <c r="B32" s="6"/>
      <c r="K32" s="6"/>
      <c r="M32" s="6"/>
      <c r="N32" s="19" t="s">
        <v>232</v>
      </c>
      <c r="O32" s="19" t="s">
        <v>233</v>
      </c>
      <c r="P32" s="19" t="s">
        <v>147</v>
      </c>
      <c r="Q32" s="19" t="s">
        <v>218</v>
      </c>
      <c r="R32" s="19"/>
      <c r="S32" s="19"/>
      <c r="T32" s="19"/>
      <c r="U32" s="19"/>
      <c r="V32" s="19" t="s">
        <v>234</v>
      </c>
      <c r="W32" s="19" t="s">
        <v>235</v>
      </c>
      <c r="X32" s="19"/>
      <c r="Y32" s="6"/>
      <c r="AA32" s="33"/>
      <c r="AB32" s="54"/>
      <c r="AC32" s="54"/>
      <c r="AD32" s="54"/>
      <c r="AE32" s="54"/>
      <c r="AF32" s="54"/>
      <c r="AG32" s="33"/>
      <c r="AH32" s="34"/>
      <c r="AI32" s="34"/>
      <c r="AJ32" s="34"/>
      <c r="AK32" s="34"/>
      <c r="AL32" s="34"/>
      <c r="AM32" s="34"/>
      <c r="AN32" s="34"/>
      <c r="AO32" s="34"/>
    </row>
    <row r="33" spans="2:41">
      <c r="B33" s="6"/>
      <c r="K33" s="6"/>
      <c r="M33" s="6"/>
      <c r="N33" s="30" t="s">
        <v>237</v>
      </c>
      <c r="O33" s="47">
        <v>2</v>
      </c>
      <c r="P33" s="52" t="s">
        <v>271</v>
      </c>
      <c r="Q33" s="53" t="s">
        <v>272</v>
      </c>
      <c r="R33" s="53"/>
      <c r="S33" s="53"/>
      <c r="T33" s="53"/>
      <c r="U33" s="53"/>
      <c r="V33" s="52" t="s">
        <v>240</v>
      </c>
      <c r="W33" s="52" t="s">
        <v>241</v>
      </c>
      <c r="X33" s="52"/>
      <c r="Y33" s="6"/>
      <c r="AA33" s="33"/>
      <c r="AB33" s="54"/>
      <c r="AC33" s="54"/>
      <c r="AD33" s="54"/>
      <c r="AE33" s="54"/>
      <c r="AF33" s="54"/>
      <c r="AG33" s="33"/>
      <c r="AH33" s="34"/>
      <c r="AI33" s="34"/>
      <c r="AJ33" s="34"/>
      <c r="AK33" s="34"/>
      <c r="AL33" s="34"/>
      <c r="AM33" s="34"/>
      <c r="AN33" s="34"/>
      <c r="AO33" s="34"/>
    </row>
    <row r="34" spans="2:41">
      <c r="B34" s="6"/>
      <c r="K34" s="6"/>
      <c r="M34" s="6"/>
      <c r="N34" s="30"/>
      <c r="O34" s="47"/>
      <c r="P34" s="52"/>
      <c r="Q34" s="53"/>
      <c r="R34" s="53"/>
      <c r="S34" s="53"/>
      <c r="T34" s="53"/>
      <c r="U34" s="53"/>
      <c r="V34" s="52"/>
      <c r="W34" s="52"/>
      <c r="X34" s="52"/>
      <c r="Y34" s="6"/>
      <c r="AA34" s="6"/>
      <c r="AB34" s="58"/>
      <c r="AC34" s="10"/>
      <c r="AD34" s="10"/>
      <c r="AE34" s="10"/>
      <c r="AF34" s="10"/>
      <c r="AG34" s="6"/>
    </row>
    <row r="35" spans="2:41">
      <c r="B35" s="6"/>
      <c r="K35" s="6"/>
      <c r="M35" s="6"/>
      <c r="N35" s="30" t="s">
        <v>237</v>
      </c>
      <c r="O35" s="47">
        <v>3</v>
      </c>
      <c r="P35" s="52" t="s">
        <v>273</v>
      </c>
      <c r="Q35" s="53" t="s">
        <v>274</v>
      </c>
      <c r="R35" s="53"/>
      <c r="S35" s="53"/>
      <c r="T35" s="53"/>
      <c r="U35" s="53"/>
      <c r="V35" s="52" t="s">
        <v>240</v>
      </c>
      <c r="W35" s="52" t="s">
        <v>241</v>
      </c>
      <c r="X35" s="52"/>
      <c r="Y35" s="6"/>
      <c r="AA35" s="6"/>
      <c r="AB35" s="58"/>
      <c r="AC35" s="10"/>
      <c r="AD35" s="10"/>
      <c r="AE35" s="10"/>
      <c r="AF35" s="10"/>
      <c r="AG35" s="6"/>
    </row>
    <row r="36" spans="2:41">
      <c r="B36" s="6"/>
      <c r="K36" s="6"/>
      <c r="M36" s="6"/>
      <c r="N36" s="30"/>
      <c r="O36" s="47"/>
      <c r="P36" s="52"/>
      <c r="Q36" s="53"/>
      <c r="R36" s="53"/>
      <c r="S36" s="53"/>
      <c r="T36" s="53"/>
      <c r="U36" s="53"/>
      <c r="V36" s="52"/>
      <c r="W36" s="52"/>
      <c r="X36" s="52"/>
      <c r="Y36" s="6"/>
      <c r="AA36" s="6"/>
      <c r="AB36" s="23"/>
      <c r="AC36" s="6"/>
      <c r="AD36" s="6"/>
      <c r="AE36" s="6"/>
      <c r="AF36" s="6"/>
      <c r="AG36" s="6"/>
    </row>
    <row r="37" spans="2:41">
      <c r="B37" s="6"/>
      <c r="K37" s="6"/>
      <c r="M37" s="6"/>
      <c r="N37" s="30" t="s">
        <v>237</v>
      </c>
      <c r="O37" s="47">
        <v>4</v>
      </c>
      <c r="P37" s="52" t="s">
        <v>275</v>
      </c>
      <c r="Q37" s="53" t="s">
        <v>276</v>
      </c>
      <c r="R37" s="53"/>
      <c r="S37" s="53"/>
      <c r="T37" s="53"/>
      <c r="U37" s="53"/>
      <c r="V37" s="52" t="s">
        <v>246</v>
      </c>
      <c r="W37" s="52" t="s">
        <v>277</v>
      </c>
      <c r="X37" s="52"/>
      <c r="Y37" s="6"/>
      <c r="AB37" s="24"/>
    </row>
    <row r="38" spans="2:41">
      <c r="B38" s="6"/>
      <c r="K38" s="6"/>
      <c r="M38" s="6"/>
      <c r="N38" s="30"/>
      <c r="O38" s="47"/>
      <c r="P38" s="52"/>
      <c r="Q38" s="53"/>
      <c r="R38" s="53"/>
      <c r="S38" s="53"/>
      <c r="T38" s="53"/>
      <c r="U38" s="53"/>
      <c r="V38" s="52"/>
      <c r="W38" s="52"/>
      <c r="X38" s="52"/>
      <c r="Y38" s="6"/>
      <c r="AB38" s="24"/>
    </row>
    <row r="39" spans="2:41">
      <c r="B39" s="6"/>
      <c r="K39" s="6"/>
      <c r="M39" s="6"/>
      <c r="N39" s="30" t="s">
        <v>237</v>
      </c>
      <c r="O39" s="47">
        <v>5</v>
      </c>
      <c r="P39" s="52" t="s">
        <v>278</v>
      </c>
      <c r="Q39" s="53" t="s">
        <v>279</v>
      </c>
      <c r="R39" s="53"/>
      <c r="S39" s="53"/>
      <c r="T39" s="53"/>
      <c r="U39" s="53"/>
      <c r="V39" s="52" t="s">
        <v>255</v>
      </c>
      <c r="W39" s="52" t="s">
        <v>256</v>
      </c>
      <c r="X39" s="52"/>
      <c r="Y39" s="6"/>
      <c r="AB39" s="24"/>
    </row>
    <row r="40" spans="2:41">
      <c r="B40" s="6"/>
      <c r="K40" s="6"/>
      <c r="M40" s="6"/>
      <c r="N40" s="30"/>
      <c r="O40" s="47"/>
      <c r="P40" s="52"/>
      <c r="Q40" s="53"/>
      <c r="R40" s="53"/>
      <c r="S40" s="53"/>
      <c r="T40" s="53"/>
      <c r="U40" s="53"/>
      <c r="V40" s="52"/>
      <c r="W40" s="52"/>
      <c r="X40" s="52"/>
      <c r="Y40" s="6"/>
      <c r="AB40" s="24"/>
    </row>
    <row r="41" spans="2:41">
      <c r="B41" s="6"/>
      <c r="K41" s="6"/>
      <c r="M41" s="6"/>
      <c r="N41" s="30" t="s">
        <v>237</v>
      </c>
      <c r="O41" s="47">
        <v>6</v>
      </c>
      <c r="P41" s="52" t="s">
        <v>280</v>
      </c>
      <c r="Q41" s="53" t="s">
        <v>281</v>
      </c>
      <c r="R41" s="53"/>
      <c r="S41" s="53"/>
      <c r="T41" s="53"/>
      <c r="U41" s="53"/>
      <c r="V41" s="52" t="s">
        <v>246</v>
      </c>
      <c r="W41" s="55" t="s">
        <v>251</v>
      </c>
      <c r="X41" s="55"/>
      <c r="Y41" s="6"/>
      <c r="AB41" s="24"/>
    </row>
    <row r="42" spans="2:41">
      <c r="B42" s="6"/>
      <c r="K42" s="6"/>
      <c r="M42" s="6"/>
      <c r="N42" s="30"/>
      <c r="O42" s="47"/>
      <c r="P42" s="52"/>
      <c r="Q42" s="53"/>
      <c r="R42" s="53"/>
      <c r="S42" s="53"/>
      <c r="T42" s="53"/>
      <c r="U42" s="53"/>
      <c r="V42" s="52"/>
      <c r="W42" s="55"/>
      <c r="X42" s="55"/>
      <c r="Y42" s="6"/>
    </row>
    <row r="43" spans="2:41">
      <c r="B43" s="6"/>
      <c r="K43" s="6"/>
      <c r="M43" s="6"/>
      <c r="N43" s="30" t="s">
        <v>237</v>
      </c>
      <c r="O43" s="47">
        <v>7</v>
      </c>
      <c r="P43" s="52" t="s">
        <v>282</v>
      </c>
      <c r="Q43" s="53" t="s">
        <v>283</v>
      </c>
      <c r="R43" s="53"/>
      <c r="S43" s="53"/>
      <c r="T43" s="53"/>
      <c r="U43" s="53"/>
      <c r="V43" s="52" t="s">
        <v>255</v>
      </c>
      <c r="W43" s="52" t="s">
        <v>256</v>
      </c>
      <c r="X43" s="52"/>
      <c r="Y43" s="6"/>
    </row>
    <row r="44" spans="2:41">
      <c r="B44" s="6"/>
      <c r="K44" s="6"/>
      <c r="M44" s="6"/>
      <c r="N44" s="30"/>
      <c r="O44" s="47"/>
      <c r="P44" s="52"/>
      <c r="Q44" s="53"/>
      <c r="R44" s="53"/>
      <c r="S44" s="53"/>
      <c r="T44" s="53"/>
      <c r="U44" s="53"/>
      <c r="V44" s="52"/>
      <c r="W44" s="52"/>
      <c r="X44" s="52"/>
      <c r="Y44" s="6"/>
    </row>
    <row r="45" spans="2:41">
      <c r="B45" s="6"/>
      <c r="K45" s="6"/>
      <c r="M45" s="6"/>
      <c r="N45" s="30" t="s">
        <v>237</v>
      </c>
      <c r="O45" s="47">
        <v>8</v>
      </c>
      <c r="P45" s="52" t="s">
        <v>284</v>
      </c>
      <c r="Q45" s="59" t="s">
        <v>285</v>
      </c>
      <c r="R45" s="53"/>
      <c r="S45" s="53"/>
      <c r="T45" s="53"/>
      <c r="U45" s="53"/>
      <c r="V45" s="52" t="s">
        <v>250</v>
      </c>
      <c r="W45" s="55" t="s">
        <v>286</v>
      </c>
      <c r="X45" s="55"/>
      <c r="Y45" s="6"/>
    </row>
    <row r="46" spans="2:41">
      <c r="B46" s="6"/>
      <c r="K46" s="6"/>
      <c r="M46" s="6"/>
      <c r="N46" s="30"/>
      <c r="O46" s="47"/>
      <c r="P46" s="52"/>
      <c r="Q46" s="53"/>
      <c r="R46" s="53"/>
      <c r="S46" s="53"/>
      <c r="T46" s="53"/>
      <c r="U46" s="53"/>
      <c r="V46" s="52"/>
      <c r="W46" s="55"/>
      <c r="X46" s="55"/>
      <c r="Y46" s="6"/>
    </row>
    <row r="47" spans="2:41">
      <c r="B47" s="6"/>
      <c r="K47" s="6"/>
      <c r="M47" s="6"/>
      <c r="N47" s="30" t="s">
        <v>237</v>
      </c>
      <c r="O47" s="47">
        <v>9</v>
      </c>
      <c r="P47" s="52" t="s">
        <v>287</v>
      </c>
      <c r="Q47" s="53" t="s">
        <v>288</v>
      </c>
      <c r="R47" s="53"/>
      <c r="S47" s="53"/>
      <c r="T47" s="53"/>
      <c r="U47" s="53"/>
      <c r="V47" s="52" t="s">
        <v>246</v>
      </c>
      <c r="W47" s="55" t="s">
        <v>289</v>
      </c>
      <c r="X47" s="55"/>
      <c r="Y47" s="6"/>
    </row>
    <row r="48" spans="2:41">
      <c r="B48" s="6"/>
      <c r="K48" s="6"/>
      <c r="M48" s="6"/>
      <c r="N48" s="30"/>
      <c r="O48" s="47"/>
      <c r="P48" s="52"/>
      <c r="Q48" s="53"/>
      <c r="R48" s="53"/>
      <c r="S48" s="53"/>
      <c r="T48" s="53"/>
      <c r="U48" s="53"/>
      <c r="V48" s="52"/>
      <c r="W48" s="55"/>
      <c r="X48" s="55"/>
      <c r="Y48" s="6"/>
    </row>
    <row r="49" spans="2:25">
      <c r="B49" s="6"/>
      <c r="K49" s="6"/>
      <c r="M49" s="6"/>
      <c r="N49" s="30" t="s">
        <v>237</v>
      </c>
      <c r="O49" s="47">
        <v>10</v>
      </c>
      <c r="P49" s="52" t="s">
        <v>290</v>
      </c>
      <c r="Q49" s="53" t="s">
        <v>291</v>
      </c>
      <c r="R49" s="53"/>
      <c r="S49" s="53"/>
      <c r="T49" s="53"/>
      <c r="U49" s="53"/>
      <c r="V49" s="52" t="s">
        <v>250</v>
      </c>
      <c r="W49" s="52" t="s">
        <v>277</v>
      </c>
      <c r="X49" s="52"/>
      <c r="Y49" s="6"/>
    </row>
    <row r="50" spans="2:25">
      <c r="B50" s="6"/>
      <c r="K50" s="6"/>
      <c r="M50" s="6"/>
      <c r="N50" s="30"/>
      <c r="O50" s="47"/>
      <c r="P50" s="52"/>
      <c r="Q50" s="53"/>
      <c r="R50" s="53"/>
      <c r="S50" s="53"/>
      <c r="T50" s="53"/>
      <c r="U50" s="53"/>
      <c r="V50" s="52"/>
      <c r="W50" s="52"/>
      <c r="X50" s="52"/>
      <c r="Y50" s="6"/>
    </row>
    <row r="51" spans="2:25">
      <c r="B51" s="6"/>
      <c r="K51" s="6"/>
      <c r="M51" s="6"/>
      <c r="N51" s="30" t="s">
        <v>237</v>
      </c>
      <c r="O51" s="47">
        <v>11</v>
      </c>
      <c r="P51" s="52" t="s">
        <v>292</v>
      </c>
      <c r="Q51" s="53" t="s">
        <v>293</v>
      </c>
      <c r="R51" s="53"/>
      <c r="S51" s="53"/>
      <c r="T51" s="53"/>
      <c r="U51" s="53"/>
      <c r="V51" s="52" t="s">
        <v>240</v>
      </c>
      <c r="W51" s="52" t="s">
        <v>247</v>
      </c>
      <c r="X51" s="52"/>
      <c r="Y51" s="6"/>
    </row>
    <row r="52" spans="2:25">
      <c r="B52" s="6"/>
      <c r="I52" s="6"/>
      <c r="K52" s="6"/>
      <c r="M52" s="6"/>
      <c r="N52" s="30"/>
      <c r="O52" s="47"/>
      <c r="P52" s="52"/>
      <c r="Q52" s="53"/>
      <c r="R52" s="53"/>
      <c r="S52" s="53"/>
      <c r="T52" s="53"/>
      <c r="U52" s="53"/>
      <c r="V52" s="52"/>
      <c r="W52" s="52"/>
      <c r="X52" s="52"/>
      <c r="Y52" s="6"/>
    </row>
    <row r="53" spans="2:25">
      <c r="B53" s="6"/>
      <c r="K53" s="6"/>
      <c r="M53" s="6"/>
      <c r="N53" s="60" t="s">
        <v>237</v>
      </c>
      <c r="O53" s="47">
        <v>12</v>
      </c>
      <c r="P53" s="52" t="s">
        <v>294</v>
      </c>
      <c r="Q53" s="53" t="s">
        <v>295</v>
      </c>
      <c r="R53" s="53"/>
      <c r="S53" s="53"/>
      <c r="T53" s="53"/>
      <c r="U53" s="53"/>
      <c r="V53" s="52" t="s">
        <v>240</v>
      </c>
      <c r="W53" s="52" t="s">
        <v>241</v>
      </c>
      <c r="X53" s="52"/>
      <c r="Y53" s="6"/>
    </row>
    <row r="54" spans="2:25">
      <c r="B54" s="6"/>
      <c r="C54" s="6"/>
      <c r="D54" s="6"/>
      <c r="E54" s="6"/>
      <c r="F54" s="6"/>
      <c r="G54" s="6"/>
      <c r="H54" s="6"/>
      <c r="K54" s="6"/>
      <c r="M54" s="6"/>
      <c r="N54" s="61"/>
      <c r="O54" s="47"/>
      <c r="P54" s="52"/>
      <c r="Q54" s="53"/>
      <c r="R54" s="53"/>
      <c r="S54" s="53"/>
      <c r="T54" s="53"/>
      <c r="U54" s="53"/>
      <c r="V54" s="52"/>
      <c r="W54" s="52"/>
      <c r="X54" s="52"/>
      <c r="Y54" s="6"/>
    </row>
    <row r="55" spans="2:25">
      <c r="B55" s="6"/>
      <c r="K55" s="6"/>
      <c r="M55" s="6"/>
      <c r="N55" s="62"/>
      <c r="O55" s="47"/>
      <c r="P55" s="52"/>
      <c r="Q55" s="53"/>
      <c r="R55" s="53"/>
      <c r="S55" s="53"/>
      <c r="T55" s="53"/>
      <c r="U55" s="53"/>
      <c r="V55" s="52"/>
      <c r="W55" s="52"/>
      <c r="X55" s="52"/>
      <c r="Y55" s="6"/>
    </row>
    <row r="56" spans="2:25">
      <c r="B56" s="6"/>
      <c r="J56" s="6"/>
      <c r="K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</sheetData>
  <mergeCells count="177">
    <mergeCell ref="E2:K2"/>
    <mergeCell ref="P2:Y2"/>
    <mergeCell ref="AD2:AG2"/>
    <mergeCell ref="Q4:S4"/>
    <mergeCell ref="AE4:AF4"/>
    <mergeCell ref="AB6:AD6"/>
    <mergeCell ref="N7:X7"/>
    <mergeCell ref="AB7:AC7"/>
    <mergeCell ref="Q8:U8"/>
    <mergeCell ref="W8:X8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D21:AF21"/>
    <mergeCell ref="AD22:AF22"/>
    <mergeCell ref="AD23:AF23"/>
    <mergeCell ref="AD24:AF24"/>
    <mergeCell ref="AD25:AF25"/>
    <mergeCell ref="AD26:AF26"/>
    <mergeCell ref="AD27:AF27"/>
    <mergeCell ref="AD28:AF28"/>
    <mergeCell ref="AD29:AF29"/>
    <mergeCell ref="AD30:AF30"/>
    <mergeCell ref="N31:X31"/>
    <mergeCell ref="AD31:AF31"/>
    <mergeCell ref="Q32:U32"/>
    <mergeCell ref="W32:X32"/>
    <mergeCell ref="AD32:AF32"/>
    <mergeCell ref="AD33:AF33"/>
    <mergeCell ref="AD34:AF34"/>
    <mergeCell ref="AD35:AF35"/>
    <mergeCell ref="G4:G5"/>
    <mergeCell ref="N5:N6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5"/>
    <mergeCell ref="O5:O6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5"/>
    <mergeCell ref="P5:P6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5"/>
    <mergeCell ref="T5:T6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5"/>
    <mergeCell ref="Q45:U46"/>
    <mergeCell ref="Q35:U36"/>
    <mergeCell ref="W35:X36"/>
    <mergeCell ref="Q37:U38"/>
    <mergeCell ref="W37:X38"/>
    <mergeCell ref="Q39:U40"/>
    <mergeCell ref="Q41:U42"/>
    <mergeCell ref="W41:X42"/>
    <mergeCell ref="Q43:U44"/>
    <mergeCell ref="W15:X16"/>
    <mergeCell ref="Q21:U22"/>
    <mergeCell ref="Q23:U24"/>
    <mergeCell ref="Q25:U26"/>
    <mergeCell ref="Q53:U55"/>
    <mergeCell ref="W11:X12"/>
    <mergeCell ref="W13:X14"/>
    <mergeCell ref="W23:X24"/>
    <mergeCell ref="W25:X26"/>
    <mergeCell ref="W27:X28"/>
    <mergeCell ref="W29:X30"/>
    <mergeCell ref="W17:X18"/>
    <mergeCell ref="W21:X22"/>
    <mergeCell ref="W19:X20"/>
    <mergeCell ref="W53:X55"/>
    <mergeCell ref="W45:X46"/>
    <mergeCell ref="Q47:U48"/>
    <mergeCell ref="Q49:U50"/>
    <mergeCell ref="Q51:U52"/>
    <mergeCell ref="W39:X40"/>
    <mergeCell ref="W43:X44"/>
    <mergeCell ref="W49:X50"/>
    <mergeCell ref="W51:X52"/>
    <mergeCell ref="W47:X48"/>
    <mergeCell ref="W33:X34"/>
    <mergeCell ref="Q27:U28"/>
    <mergeCell ref="Q29:U30"/>
    <mergeCell ref="Q33:U34"/>
    <mergeCell ref="Q15:U16"/>
    <mergeCell ref="Q17:U18"/>
    <mergeCell ref="Q19:U20"/>
    <mergeCell ref="Q9:U10"/>
    <mergeCell ref="Q11:U12"/>
    <mergeCell ref="Q13:U14"/>
    <mergeCell ref="Q5:S6"/>
    <mergeCell ref="U4:X6"/>
    <mergeCell ref="AE5:AF6"/>
    <mergeCell ref="W9:X10"/>
  </mergeCells>
  <conditionalFormatting sqref="N5:T6">
    <cfRule type="expression" dxfId="0" priority="13">
      <formula>$P$5="健康"</formula>
    </cfRule>
    <cfRule type="expression" dxfId="1" priority="14">
      <formula>$P$5="轻伤"</formula>
    </cfRule>
    <cfRule type="expression" dxfId="2" priority="15">
      <formula>$P$5="重伤"</formula>
    </cfRule>
    <cfRule type="expression" dxfId="3" priority="16">
      <formula>$P$5="致命伤"</formula>
    </cfRule>
  </conditionalFormatting>
  <conditionalFormatting sqref="AE5:AF6">
    <cfRule type="expression" dxfId="4" priority="1">
      <formula>AD5=2</formula>
    </cfRule>
    <cfRule type="expression" dxfId="3" priority="2">
      <formula>AD5="1"</formula>
    </cfRule>
    <cfRule type="expression" dxfId="5" priority="3">
      <formula>AE5="严重赛博精神病"</formula>
    </cfRule>
    <cfRule type="expression" dxfId="5" priority="4">
      <formula>AE5="赛博精神病"</formula>
    </cfRule>
  </conditionalFormatting>
  <conditionalFormatting sqref="N9:X30 N33:X53 O54:X55">
    <cfRule type="expression" dxfId="3" priority="20">
      <formula>$N9="是"</formula>
    </cfRule>
  </conditionalFormatting>
  <conditionalFormatting sqref="N9:X30 N33:X55">
    <cfRule type="expression" dxfId="6" priority="7">
      <formula>$N9="已稳定"</formula>
    </cfRule>
  </conditionalFormatting>
  <dataValidations count="1">
    <dataValidation type="list" allowBlank="1" showInputMessage="1" showErrorMessage="1" sqref="N9:N29 N33:N53">
      <formula1>"是,否,已稳定"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AK51"/>
  <sheetViews>
    <sheetView workbookViewId="0">
      <selection activeCell="D20" sqref="D20"/>
    </sheetView>
  </sheetViews>
  <sheetFormatPr defaultColWidth="8.86363636363636" defaultRowHeight="14"/>
  <cols>
    <col min="1" max="1" width="8.86363636363636" style="1"/>
    <col min="2" max="2" width="1.8" style="1" customWidth="1"/>
    <col min="3" max="3" width="8.86363636363636" style="1"/>
    <col min="4" max="4" width="30.8" style="1" customWidth="1"/>
    <col min="5" max="5" width="1.8" style="1" customWidth="1"/>
    <col min="6" max="6" width="4.8" style="1" customWidth="1"/>
    <col min="7" max="7" width="1.8" style="1" customWidth="1"/>
    <col min="8" max="15" width="8.86363636363636" style="1"/>
    <col min="16" max="16" width="84" style="1" customWidth="1"/>
    <col min="17" max="17" width="1.8" style="1" customWidth="1"/>
    <col min="18" max="18" width="4.8" style="1" customWidth="1"/>
    <col min="19" max="19" width="1.8" style="1" customWidth="1"/>
    <col min="20" max="22" width="8.86363636363636" style="1"/>
    <col min="23" max="23" width="1.8" style="1" customWidth="1"/>
    <col min="24" max="37" width="8.86363636363636" style="1"/>
    <col min="38" max="38" width="1.8" style="1" customWidth="1"/>
    <col min="39" max="16384" width="8.86363636363636" style="1"/>
  </cols>
  <sheetData>
    <row r="2" spans="2:37">
      <c r="B2" s="2" t="s">
        <v>296</v>
      </c>
      <c r="C2" s="18"/>
      <c r="G2" s="2" t="s">
        <v>297</v>
      </c>
      <c r="H2" s="18"/>
      <c r="I2" s="18"/>
      <c r="S2" s="2" t="s">
        <v>298</v>
      </c>
      <c r="T2" s="18"/>
      <c r="U2" s="18"/>
    </row>
    <row r="3" ht="10.05" customHeight="1" spans="2:37">
      <c r="B3" s="6"/>
      <c r="C3" s="6"/>
      <c r="D3" s="6"/>
      <c r="E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</row>
    <row r="4" spans="2:37">
      <c r="B4" s="6"/>
      <c r="C4" s="7" t="s">
        <v>299</v>
      </c>
      <c r="D4" s="19"/>
      <c r="E4" s="6"/>
      <c r="G4" s="6"/>
      <c r="H4" s="20" t="s">
        <v>300</v>
      </c>
      <c r="I4" s="21" t="s">
        <v>301</v>
      </c>
      <c r="J4" s="8"/>
      <c r="K4" s="8"/>
      <c r="L4" s="8" t="s">
        <v>302</v>
      </c>
      <c r="M4" s="8"/>
      <c r="N4" s="8"/>
      <c r="O4" s="8"/>
      <c r="P4" s="8"/>
      <c r="Q4" s="6"/>
      <c r="S4" s="6"/>
      <c r="T4" s="22"/>
      <c r="U4" s="22"/>
      <c r="V4" s="22"/>
      <c r="W4" s="23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2:37">
      <c r="B5" s="6"/>
      <c r="C5" s="25" t="s">
        <v>303</v>
      </c>
      <c r="D5" s="10"/>
      <c r="E5" s="6"/>
      <c r="G5" s="6"/>
      <c r="H5" s="10"/>
      <c r="I5" s="10"/>
      <c r="J5" s="10"/>
      <c r="K5" s="10"/>
      <c r="L5" s="10"/>
      <c r="M5" s="10"/>
      <c r="N5" s="10"/>
      <c r="O5" s="10"/>
      <c r="P5" s="10"/>
      <c r="Q5" s="6"/>
      <c r="S5" s="6"/>
      <c r="T5" s="22"/>
      <c r="U5" s="22"/>
      <c r="V5" s="22"/>
      <c r="W5" s="6"/>
    </row>
    <row r="6" spans="2:37">
      <c r="B6" s="6"/>
      <c r="C6" s="26" t="s">
        <v>101</v>
      </c>
      <c r="D6" s="10"/>
      <c r="E6" s="6"/>
      <c r="G6" s="6"/>
      <c r="H6" s="10"/>
      <c r="I6" s="10"/>
      <c r="J6" s="10"/>
      <c r="K6" s="10"/>
      <c r="L6" s="10"/>
      <c r="M6" s="10"/>
      <c r="N6" s="10"/>
      <c r="O6" s="10"/>
      <c r="P6" s="10"/>
      <c r="Q6" s="6"/>
      <c r="S6" s="6"/>
      <c r="T6" s="22"/>
      <c r="U6" s="22"/>
      <c r="V6" s="22"/>
      <c r="W6" s="6"/>
    </row>
    <row r="7" spans="2:37">
      <c r="B7" s="6"/>
      <c r="C7" s="26" t="s">
        <v>304</v>
      </c>
      <c r="D7" s="10"/>
      <c r="E7" s="6"/>
      <c r="G7" s="6"/>
      <c r="H7" s="10"/>
      <c r="I7" s="10"/>
      <c r="J7" s="10"/>
      <c r="K7" s="10"/>
      <c r="L7" s="10"/>
      <c r="M7" s="10"/>
      <c r="N7" s="10"/>
      <c r="O7" s="10"/>
      <c r="P7" s="10"/>
      <c r="Q7" s="6"/>
      <c r="S7" s="6"/>
      <c r="T7" s="22"/>
      <c r="U7" s="22"/>
      <c r="V7" s="22"/>
      <c r="W7" s="6"/>
    </row>
    <row r="8" spans="2:37">
      <c r="B8" s="6"/>
      <c r="C8" s="26" t="s">
        <v>305</v>
      </c>
      <c r="D8" s="10"/>
      <c r="E8" s="6"/>
      <c r="G8" s="6"/>
      <c r="H8" s="10"/>
      <c r="I8" s="10"/>
      <c r="J8" s="10"/>
      <c r="K8" s="10"/>
      <c r="L8" s="10"/>
      <c r="M8" s="10"/>
      <c r="N8" s="10"/>
      <c r="O8" s="10"/>
      <c r="P8" s="10"/>
      <c r="Q8" s="6"/>
      <c r="S8" s="6"/>
      <c r="T8" s="22"/>
      <c r="U8" s="22"/>
      <c r="V8" s="22"/>
      <c r="W8" s="6"/>
    </row>
    <row r="9" spans="2:37">
      <c r="B9" s="6"/>
      <c r="C9" s="27" t="s">
        <v>306</v>
      </c>
      <c r="D9" s="10"/>
      <c r="E9" s="6"/>
      <c r="G9" s="6"/>
      <c r="H9" s="10"/>
      <c r="I9" s="10"/>
      <c r="J9" s="10"/>
      <c r="K9" s="10"/>
      <c r="L9" s="10"/>
      <c r="M9" s="10"/>
      <c r="N9" s="10"/>
      <c r="O9" s="10"/>
      <c r="P9" s="10"/>
      <c r="Q9" s="6"/>
      <c r="S9" s="6"/>
      <c r="T9" s="22"/>
      <c r="U9" s="22"/>
      <c r="V9" s="22"/>
      <c r="W9" s="6"/>
    </row>
    <row r="10" spans="2:37">
      <c r="B10" s="6"/>
      <c r="C10" s="7" t="s">
        <v>307</v>
      </c>
      <c r="D10" s="17"/>
      <c r="E10" s="6"/>
      <c r="G10" s="6"/>
      <c r="H10" s="10"/>
      <c r="I10" s="10"/>
      <c r="J10" s="10"/>
      <c r="K10" s="10"/>
      <c r="L10" s="10"/>
      <c r="M10" s="10"/>
      <c r="N10" s="10"/>
      <c r="O10" s="10"/>
      <c r="P10" s="10"/>
      <c r="Q10" s="6"/>
      <c r="S10" s="6"/>
      <c r="T10" s="22"/>
      <c r="U10" s="22"/>
      <c r="V10" s="22"/>
      <c r="W10" s="6"/>
    </row>
    <row r="11" spans="2:37">
      <c r="B11" s="6"/>
      <c r="C11" s="25" t="s">
        <v>308</v>
      </c>
      <c r="D11" s="10"/>
      <c r="E11" s="6"/>
      <c r="G11" s="6"/>
      <c r="H11" s="10"/>
      <c r="I11" s="10"/>
      <c r="J11" s="10"/>
      <c r="K11" s="10"/>
      <c r="L11" s="10"/>
      <c r="M11" s="10"/>
      <c r="N11" s="10"/>
      <c r="O11" s="10"/>
      <c r="P11" s="10"/>
      <c r="Q11" s="6"/>
      <c r="S11" s="6"/>
      <c r="T11" s="22"/>
      <c r="U11" s="22"/>
      <c r="V11" s="22"/>
      <c r="W11" s="6"/>
    </row>
    <row r="12" spans="2:37">
      <c r="B12" s="6"/>
      <c r="C12" s="26" t="s">
        <v>309</v>
      </c>
      <c r="D12" s="10"/>
      <c r="E12" s="6"/>
      <c r="G12" s="6"/>
      <c r="H12" s="10"/>
      <c r="I12" s="10"/>
      <c r="J12" s="10"/>
      <c r="K12" s="10"/>
      <c r="L12" s="10"/>
      <c r="M12" s="10"/>
      <c r="N12" s="10"/>
      <c r="O12" s="10"/>
      <c r="P12" s="10"/>
      <c r="Q12" s="6"/>
      <c r="S12" s="6"/>
      <c r="T12" s="22"/>
      <c r="U12" s="22"/>
      <c r="V12" s="22"/>
      <c r="W12" s="6"/>
    </row>
    <row r="13" spans="2:37">
      <c r="B13" s="6"/>
      <c r="C13" s="26" t="s">
        <v>310</v>
      </c>
      <c r="D13" s="10"/>
      <c r="E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S13" s="6"/>
      <c r="T13" s="22"/>
      <c r="U13" s="22"/>
      <c r="V13" s="22"/>
      <c r="W13" s="6"/>
    </row>
    <row r="14" spans="2:37">
      <c r="B14" s="6"/>
      <c r="C14" s="26" t="s">
        <v>311</v>
      </c>
      <c r="D14" s="10"/>
      <c r="E14" s="6"/>
      <c r="S14" s="6"/>
      <c r="T14" s="22"/>
      <c r="U14" s="22"/>
      <c r="V14" s="22"/>
      <c r="W14" s="6"/>
    </row>
    <row r="15" spans="2:37">
      <c r="B15" s="6"/>
      <c r="C15" s="26" t="s">
        <v>312</v>
      </c>
      <c r="D15" s="10"/>
      <c r="E15" s="6"/>
      <c r="G15" s="2" t="s">
        <v>313</v>
      </c>
      <c r="H15" s="18"/>
      <c r="I15" s="18"/>
      <c r="S15" s="6"/>
      <c r="T15" s="22"/>
      <c r="U15" s="22"/>
      <c r="V15" s="22"/>
      <c r="W15" s="6"/>
    </row>
    <row r="16" spans="2:37">
      <c r="B16" s="6"/>
      <c r="C16" s="27" t="s">
        <v>314</v>
      </c>
      <c r="D16" s="28"/>
      <c r="E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S16" s="6"/>
      <c r="T16" s="22"/>
      <c r="U16" s="22"/>
      <c r="V16" s="22"/>
      <c r="W16" s="6"/>
    </row>
    <row r="17" spans="2:23">
      <c r="B17" s="6"/>
      <c r="C17" s="7" t="s">
        <v>315</v>
      </c>
      <c r="D17" s="17"/>
      <c r="E17" s="6"/>
      <c r="G17" s="6"/>
      <c r="H17" s="20" t="s">
        <v>300</v>
      </c>
      <c r="I17" s="21" t="s">
        <v>316</v>
      </c>
      <c r="J17" s="8"/>
      <c r="K17" s="8"/>
      <c r="L17" s="8" t="s">
        <v>302</v>
      </c>
      <c r="M17" s="8"/>
      <c r="N17" s="8"/>
      <c r="O17" s="8"/>
      <c r="P17" s="8"/>
      <c r="Q17" s="6"/>
      <c r="S17" s="6"/>
      <c r="T17" s="22"/>
      <c r="U17" s="22"/>
      <c r="V17" s="22"/>
      <c r="W17" s="6"/>
    </row>
    <row r="18" spans="2:23">
      <c r="B18" s="6"/>
      <c r="C18" s="25" t="s">
        <v>103</v>
      </c>
      <c r="D18" s="10"/>
      <c r="E18" s="6"/>
      <c r="G18" s="6"/>
      <c r="H18" s="10"/>
      <c r="I18" s="10"/>
      <c r="J18" s="10"/>
      <c r="K18" s="10"/>
      <c r="L18" s="10"/>
      <c r="M18" s="10"/>
      <c r="N18" s="10"/>
      <c r="O18" s="10"/>
      <c r="P18" s="10"/>
      <c r="Q18" s="6"/>
      <c r="S18" s="6"/>
      <c r="T18" s="22"/>
      <c r="U18" s="22"/>
      <c r="V18" s="22"/>
      <c r="W18" s="6"/>
    </row>
    <row r="19" spans="2:23">
      <c r="B19" s="6"/>
      <c r="C19" s="26" t="s">
        <v>317</v>
      </c>
      <c r="D19" s="10"/>
      <c r="E19" s="6"/>
      <c r="G19" s="6"/>
      <c r="H19" s="10"/>
      <c r="I19" s="10"/>
      <c r="J19" s="10"/>
      <c r="K19" s="10"/>
      <c r="L19" s="10"/>
      <c r="M19" s="10"/>
      <c r="N19" s="10"/>
      <c r="O19" s="10"/>
      <c r="P19" s="10"/>
      <c r="Q19" s="6"/>
      <c r="S19" s="6"/>
      <c r="T19" s="22"/>
      <c r="U19" s="22"/>
      <c r="V19" s="22"/>
      <c r="W19" s="6"/>
    </row>
    <row r="20" spans="2:23">
      <c r="B20" s="6"/>
      <c r="C20" s="27" t="s">
        <v>318</v>
      </c>
      <c r="D20" s="29"/>
      <c r="E20" s="6"/>
      <c r="G20" s="6"/>
      <c r="H20" s="10"/>
      <c r="I20" s="10"/>
      <c r="J20" s="10"/>
      <c r="K20" s="10"/>
      <c r="L20" s="10"/>
      <c r="M20" s="10"/>
      <c r="N20" s="10"/>
      <c r="O20" s="10"/>
      <c r="P20" s="10"/>
      <c r="Q20" s="6"/>
      <c r="S20" s="6"/>
      <c r="T20" s="22"/>
      <c r="U20" s="22"/>
      <c r="V20" s="22"/>
      <c r="W20" s="6"/>
    </row>
    <row r="21" spans="2:23">
      <c r="B21" s="6"/>
      <c r="C21" s="10"/>
      <c r="D21" s="10"/>
      <c r="E21" s="6"/>
      <c r="G21" s="6"/>
      <c r="H21" s="10"/>
      <c r="I21" s="10"/>
      <c r="J21" s="10"/>
      <c r="K21" s="10"/>
      <c r="L21" s="10"/>
      <c r="M21" s="10"/>
      <c r="N21" s="10"/>
      <c r="O21" s="10"/>
      <c r="P21" s="10"/>
      <c r="Q21" s="6"/>
      <c r="S21" s="6"/>
      <c r="T21" s="22"/>
      <c r="U21" s="22"/>
      <c r="V21" s="22"/>
      <c r="W21" s="6"/>
    </row>
    <row r="22" spans="2:23">
      <c r="B22" s="6"/>
      <c r="C22" s="10"/>
      <c r="D22" s="10"/>
      <c r="E22" s="6"/>
      <c r="G22" s="6"/>
      <c r="H22" s="10"/>
      <c r="I22" s="10"/>
      <c r="J22" s="10"/>
      <c r="K22" s="10"/>
      <c r="L22" s="10"/>
      <c r="M22" s="10"/>
      <c r="N22" s="10"/>
      <c r="O22" s="10"/>
      <c r="P22" s="10"/>
      <c r="Q22" s="6"/>
      <c r="S22" s="6"/>
      <c r="T22" s="22"/>
      <c r="U22" s="22"/>
      <c r="V22" s="22"/>
      <c r="W22" s="6"/>
    </row>
    <row r="23" spans="2:23">
      <c r="B23" s="6"/>
      <c r="C23" s="10"/>
      <c r="D23" s="10"/>
      <c r="E23" s="6"/>
      <c r="G23" s="6"/>
      <c r="H23" s="10"/>
      <c r="I23" s="10"/>
      <c r="J23" s="10"/>
      <c r="K23" s="10"/>
      <c r="L23" s="10"/>
      <c r="M23" s="10"/>
      <c r="N23" s="10"/>
      <c r="O23" s="10"/>
      <c r="P23" s="10"/>
      <c r="Q23" s="6"/>
      <c r="S23" s="6"/>
      <c r="T23" s="22"/>
      <c r="U23" s="22"/>
      <c r="V23" s="22"/>
      <c r="W23" s="6"/>
    </row>
    <row r="24" spans="2:23">
      <c r="B24" s="6"/>
      <c r="C24" s="10"/>
      <c r="D24" s="10"/>
      <c r="E24" s="6"/>
      <c r="G24" s="6"/>
      <c r="H24" s="10"/>
      <c r="I24" s="10"/>
      <c r="J24" s="10"/>
      <c r="K24" s="10"/>
      <c r="L24" s="10"/>
      <c r="M24" s="10"/>
      <c r="N24" s="10"/>
      <c r="O24" s="10"/>
      <c r="P24" s="10"/>
      <c r="Q24" s="6"/>
      <c r="S24" s="6"/>
      <c r="T24" s="22"/>
      <c r="U24" s="22"/>
      <c r="V24" s="22"/>
      <c r="W24" s="6"/>
    </row>
    <row r="25" spans="2:23">
      <c r="B25" s="6"/>
      <c r="C25" s="10"/>
      <c r="D25" s="10"/>
      <c r="E25" s="6"/>
      <c r="G25" s="6"/>
      <c r="H25" s="10"/>
      <c r="I25" s="10"/>
      <c r="J25" s="10"/>
      <c r="K25" s="10"/>
      <c r="L25" s="10"/>
      <c r="M25" s="10"/>
      <c r="N25" s="10"/>
      <c r="O25" s="10"/>
      <c r="P25" s="10"/>
      <c r="Q25" s="6"/>
      <c r="S25" s="6"/>
      <c r="T25" s="22"/>
      <c r="U25" s="22"/>
      <c r="V25" s="22"/>
      <c r="W25" s="6"/>
    </row>
    <row r="26" spans="2:23">
      <c r="B26" s="6"/>
      <c r="C26" s="17" t="s">
        <v>319</v>
      </c>
      <c r="D26" s="17"/>
      <c r="E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S26" s="6"/>
      <c r="T26" s="22"/>
      <c r="U26" s="22"/>
      <c r="V26" s="22"/>
      <c r="W26" s="6"/>
    </row>
    <row r="27" spans="2:23">
      <c r="B27" s="6"/>
      <c r="C27" s="30"/>
      <c r="D27" s="30"/>
      <c r="E27" s="6"/>
      <c r="S27" s="6"/>
      <c r="T27" s="22"/>
      <c r="U27" s="22"/>
      <c r="V27" s="22"/>
      <c r="W27" s="6"/>
    </row>
    <row r="28" spans="2:23">
      <c r="B28" s="6"/>
      <c r="C28" s="30"/>
      <c r="D28" s="30"/>
      <c r="E28" s="6"/>
      <c r="G28" s="2" t="s">
        <v>320</v>
      </c>
      <c r="H28" s="18"/>
      <c r="I28" s="18"/>
      <c r="S28" s="6"/>
      <c r="T28" s="22"/>
      <c r="U28" s="22"/>
      <c r="V28" s="22"/>
      <c r="W28" s="6"/>
    </row>
    <row r="29" spans="2:23">
      <c r="B29" s="6"/>
      <c r="C29" s="30"/>
      <c r="D29" s="30"/>
      <c r="E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S29" s="6"/>
      <c r="T29" s="22"/>
      <c r="U29" s="22"/>
      <c r="V29" s="22"/>
      <c r="W29" s="6"/>
    </row>
    <row r="30" spans="2:23">
      <c r="B30" s="6"/>
      <c r="C30" s="30"/>
      <c r="D30" s="30"/>
      <c r="E30" s="6"/>
      <c r="G30" s="6"/>
      <c r="H30" s="31"/>
      <c r="I30" s="32"/>
      <c r="J30" s="32"/>
      <c r="K30" s="32"/>
      <c r="L30" s="32"/>
      <c r="M30" s="32"/>
      <c r="N30" s="32"/>
      <c r="O30" s="32"/>
      <c r="P30" s="32"/>
      <c r="Q30" s="6"/>
      <c r="S30" s="6"/>
      <c r="T30" s="22"/>
      <c r="U30" s="22"/>
      <c r="V30" s="22"/>
      <c r="W30" s="6"/>
    </row>
    <row r="31" spans="2:23">
      <c r="B31" s="6"/>
      <c r="C31" s="30"/>
      <c r="D31" s="30"/>
      <c r="E31" s="6"/>
      <c r="G31" s="6"/>
      <c r="H31" s="32"/>
      <c r="I31" s="32"/>
      <c r="J31" s="32"/>
      <c r="K31" s="32"/>
      <c r="L31" s="32"/>
      <c r="M31" s="32"/>
      <c r="N31" s="32"/>
      <c r="O31" s="32"/>
      <c r="P31" s="32"/>
      <c r="Q31" s="6"/>
      <c r="S31" s="6"/>
      <c r="T31" s="22"/>
      <c r="U31" s="22"/>
      <c r="V31" s="22"/>
      <c r="W31" s="6"/>
    </row>
    <row r="32" spans="2:23">
      <c r="B32" s="6"/>
      <c r="C32" s="30"/>
      <c r="D32" s="30"/>
      <c r="E32" s="6"/>
      <c r="G32" s="6"/>
      <c r="H32" s="32"/>
      <c r="I32" s="32"/>
      <c r="J32" s="32"/>
      <c r="K32" s="32"/>
      <c r="L32" s="32"/>
      <c r="M32" s="32"/>
      <c r="N32" s="32"/>
      <c r="O32" s="32"/>
      <c r="P32" s="32"/>
      <c r="Q32" s="6"/>
      <c r="S32" s="6"/>
      <c r="T32" s="22"/>
      <c r="U32" s="22"/>
      <c r="V32" s="22"/>
      <c r="W32" s="6"/>
    </row>
    <row r="33" spans="2:23">
      <c r="B33" s="6"/>
      <c r="C33" s="30"/>
      <c r="D33" s="30"/>
      <c r="E33" s="6"/>
      <c r="G33" s="6"/>
      <c r="H33" s="32"/>
      <c r="I33" s="32"/>
      <c r="J33" s="32"/>
      <c r="K33" s="32"/>
      <c r="L33" s="32"/>
      <c r="M33" s="32"/>
      <c r="N33" s="32"/>
      <c r="O33" s="32"/>
      <c r="P33" s="32"/>
      <c r="Q33" s="6"/>
      <c r="S33" s="6"/>
      <c r="T33" s="22"/>
      <c r="U33" s="22"/>
      <c r="V33" s="22"/>
      <c r="W33" s="6"/>
    </row>
    <row r="34" spans="2:23">
      <c r="B34" s="6"/>
      <c r="C34" s="30"/>
      <c r="D34" s="30"/>
      <c r="E34" s="6"/>
      <c r="G34" s="6"/>
      <c r="H34" s="32"/>
      <c r="I34" s="32"/>
      <c r="J34" s="32"/>
      <c r="K34" s="32"/>
      <c r="L34" s="32"/>
      <c r="M34" s="32"/>
      <c r="N34" s="32"/>
      <c r="O34" s="32"/>
      <c r="P34" s="32"/>
      <c r="Q34" s="6"/>
      <c r="S34" s="6"/>
      <c r="T34" s="22"/>
      <c r="U34" s="22"/>
      <c r="V34" s="22"/>
      <c r="W34" s="6"/>
    </row>
    <row r="35" spans="2:23">
      <c r="B35" s="6"/>
      <c r="C35" s="30"/>
      <c r="D35" s="30"/>
      <c r="E35" s="6"/>
      <c r="G35" s="6"/>
      <c r="H35" s="32"/>
      <c r="I35" s="32"/>
      <c r="J35" s="32"/>
      <c r="K35" s="32"/>
      <c r="L35" s="32"/>
      <c r="M35" s="32"/>
      <c r="N35" s="32"/>
      <c r="O35" s="32"/>
      <c r="P35" s="32"/>
      <c r="Q35" s="6"/>
      <c r="S35" s="6"/>
      <c r="T35" s="22"/>
      <c r="U35" s="22"/>
      <c r="V35" s="22"/>
      <c r="W35" s="6"/>
    </row>
    <row r="36" spans="2:23">
      <c r="B36" s="6"/>
      <c r="C36" s="30"/>
      <c r="D36" s="30"/>
      <c r="E36" s="6"/>
      <c r="G36" s="6"/>
      <c r="H36" s="32"/>
      <c r="I36" s="32"/>
      <c r="J36" s="32"/>
      <c r="K36" s="32"/>
      <c r="L36" s="32"/>
      <c r="M36" s="32"/>
      <c r="N36" s="32"/>
      <c r="O36" s="32"/>
      <c r="P36" s="32"/>
      <c r="Q36" s="6"/>
      <c r="S36" s="6"/>
      <c r="T36" s="22"/>
      <c r="U36" s="22"/>
      <c r="V36" s="22"/>
      <c r="W36" s="6"/>
    </row>
    <row r="37" spans="2:23">
      <c r="B37" s="6"/>
      <c r="C37" s="30"/>
      <c r="D37" s="30"/>
      <c r="E37" s="6"/>
      <c r="G37" s="6"/>
      <c r="H37" s="32"/>
      <c r="I37" s="32"/>
      <c r="J37" s="32"/>
      <c r="K37" s="32"/>
      <c r="L37" s="32"/>
      <c r="M37" s="32"/>
      <c r="N37" s="32"/>
      <c r="O37" s="32"/>
      <c r="P37" s="32"/>
      <c r="Q37" s="6"/>
      <c r="S37" s="6"/>
      <c r="T37" s="22"/>
      <c r="U37" s="22"/>
      <c r="V37" s="22"/>
      <c r="W37" s="6"/>
    </row>
    <row r="38" spans="2:23">
      <c r="B38" s="6"/>
      <c r="C38" s="6"/>
      <c r="D38" s="6"/>
      <c r="E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S38" s="6"/>
      <c r="T38" s="6"/>
      <c r="U38" s="6"/>
      <c r="V38" s="6"/>
      <c r="W38" s="6"/>
    </row>
    <row r="40" spans="2:23">
      <c r="B40" s="2" t="s">
        <v>321</v>
      </c>
      <c r="C40" s="18"/>
      <c r="D40" s="18"/>
    </row>
    <row r="41" spans="2:2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2:23">
      <c r="B42" s="6"/>
      <c r="C42" s="20" t="s">
        <v>300</v>
      </c>
      <c r="D42" s="21" t="s">
        <v>322</v>
      </c>
      <c r="E42" s="8" t="s">
        <v>323</v>
      </c>
      <c r="F42" s="8"/>
      <c r="G42" s="8"/>
      <c r="H42" s="8"/>
      <c r="I42" s="8"/>
      <c r="J42" s="21" t="s">
        <v>324</v>
      </c>
      <c r="K42" s="8"/>
      <c r="L42" s="8"/>
      <c r="M42" s="21" t="s">
        <v>325</v>
      </c>
      <c r="N42" s="8"/>
      <c r="O42" s="8"/>
      <c r="P42" s="21" t="s">
        <v>302</v>
      </c>
      <c r="Q42" s="8"/>
      <c r="R42" s="8"/>
      <c r="S42" s="8"/>
      <c r="T42" s="8"/>
      <c r="U42" s="8"/>
      <c r="V42" s="8"/>
      <c r="W42" s="6"/>
    </row>
    <row r="43" spans="2:23">
      <c r="B43" s="6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6"/>
    </row>
    <row r="44" spans="2:23">
      <c r="B44" s="6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6"/>
    </row>
    <row r="45" spans="2:23">
      <c r="B45" s="6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6"/>
    </row>
    <row r="46" spans="2:23">
      <c r="B46" s="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6"/>
    </row>
    <row r="47" spans="2:23">
      <c r="B47" s="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6"/>
    </row>
    <row r="48" spans="2:23">
      <c r="B48" s="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6"/>
    </row>
    <row r="49" spans="2:23">
      <c r="B49" s="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6"/>
    </row>
    <row r="50" spans="2:23">
      <c r="B50" s="6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6"/>
    </row>
    <row r="51" spans="2:2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</sheetData>
  <mergeCells count="79">
    <mergeCell ref="C4:D4"/>
    <mergeCell ref="I4:K4"/>
    <mergeCell ref="L4:P4"/>
    <mergeCell ref="I5:K5"/>
    <mergeCell ref="L5:P5"/>
    <mergeCell ref="I6:K6"/>
    <mergeCell ref="L6:P6"/>
    <mergeCell ref="I7:K7"/>
    <mergeCell ref="L7:P7"/>
    <mergeCell ref="I8:K8"/>
    <mergeCell ref="L8:P8"/>
    <mergeCell ref="I9:K9"/>
    <mergeCell ref="L9:P9"/>
    <mergeCell ref="C10:D10"/>
    <mergeCell ref="I10:K10"/>
    <mergeCell ref="L10:P10"/>
    <mergeCell ref="I11:K11"/>
    <mergeCell ref="L11:P11"/>
    <mergeCell ref="I12:K12"/>
    <mergeCell ref="L12:P12"/>
    <mergeCell ref="C17:D17"/>
    <mergeCell ref="I17:K17"/>
    <mergeCell ref="L17:P17"/>
    <mergeCell ref="I18:K18"/>
    <mergeCell ref="L18:P18"/>
    <mergeCell ref="I19:K19"/>
    <mergeCell ref="L19:P19"/>
    <mergeCell ref="I20:K20"/>
    <mergeCell ref="L20:P20"/>
    <mergeCell ref="I21:K21"/>
    <mergeCell ref="L21:P21"/>
    <mergeCell ref="I22:K22"/>
    <mergeCell ref="L22:P22"/>
    <mergeCell ref="I23:K23"/>
    <mergeCell ref="L23:P23"/>
    <mergeCell ref="I24:K24"/>
    <mergeCell ref="L24:P24"/>
    <mergeCell ref="I25:K25"/>
    <mergeCell ref="L25:P25"/>
    <mergeCell ref="C26:D26"/>
    <mergeCell ref="E42:I42"/>
    <mergeCell ref="J42:L42"/>
    <mergeCell ref="M42:O42"/>
    <mergeCell ref="P42:V42"/>
    <mergeCell ref="E43:I43"/>
    <mergeCell ref="J43:L43"/>
    <mergeCell ref="M43:O43"/>
    <mergeCell ref="P43:V43"/>
    <mergeCell ref="E44:I44"/>
    <mergeCell ref="J44:L44"/>
    <mergeCell ref="M44:O44"/>
    <mergeCell ref="P44:V44"/>
    <mergeCell ref="E45:I45"/>
    <mergeCell ref="J45:L45"/>
    <mergeCell ref="M45:O45"/>
    <mergeCell ref="P45:V45"/>
    <mergeCell ref="E46:I46"/>
    <mergeCell ref="J46:L46"/>
    <mergeCell ref="M46:O46"/>
    <mergeCell ref="P46:V46"/>
    <mergeCell ref="E47:I47"/>
    <mergeCell ref="J47:L47"/>
    <mergeCell ref="M47:O47"/>
    <mergeCell ref="P47:V47"/>
    <mergeCell ref="E48:I48"/>
    <mergeCell ref="J48:L48"/>
    <mergeCell ref="M48:O48"/>
    <mergeCell ref="P48:V48"/>
    <mergeCell ref="E49:I49"/>
    <mergeCell ref="J49:L49"/>
    <mergeCell ref="M49:O49"/>
    <mergeCell ref="P49:V49"/>
    <mergeCell ref="E50:I50"/>
    <mergeCell ref="J50:L50"/>
    <mergeCell ref="M50:O50"/>
    <mergeCell ref="P50:V50"/>
    <mergeCell ref="C27:D37"/>
    <mergeCell ref="H30:P37"/>
    <mergeCell ref="T4:V3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T51"/>
  <sheetViews>
    <sheetView workbookViewId="0">
      <selection activeCell="K9" sqref="K9"/>
    </sheetView>
  </sheetViews>
  <sheetFormatPr defaultColWidth="8.86363636363636" defaultRowHeight="14"/>
  <cols>
    <col min="1" max="1" width="8.86363636363636" style="1"/>
    <col min="2" max="2" width="1.8" style="1" customWidth="1"/>
    <col min="3" max="4" width="8.86363636363636" style="1"/>
    <col min="5" max="5" width="10.5272727272727" style="1"/>
    <col min="6" max="6" width="10.3363636363636" style="1" customWidth="1"/>
    <col min="7" max="7" width="1.8" style="1" customWidth="1"/>
    <col min="8" max="8" width="4.8" style="1" customWidth="1"/>
    <col min="9" max="9" width="1.8" style="1" customWidth="1"/>
    <col min="10" max="10" width="8.86363636363636" style="1"/>
    <col min="11" max="11" width="11.6636363636364" style="1" customWidth="1"/>
    <col min="12" max="13" width="8.86363636363636" style="1"/>
    <col min="14" max="15" width="40.8" style="1" customWidth="1"/>
    <col min="16" max="16" width="8.86363636363636" style="1"/>
    <col min="17" max="19" width="40.8" style="1" customWidth="1"/>
    <col min="20" max="20" width="1.8" style="1" customWidth="1"/>
    <col min="21" max="16384" width="8.86363636363636" style="1"/>
  </cols>
  <sheetData>
    <row r="2" spans="2:20">
      <c r="B2" s="2" t="s">
        <v>326</v>
      </c>
      <c r="C2" s="3"/>
      <c r="D2" s="3"/>
      <c r="E2" s="4" t="s">
        <v>327</v>
      </c>
      <c r="F2" s="4"/>
      <c r="G2" s="4"/>
      <c r="I2" s="2" t="s">
        <v>328</v>
      </c>
      <c r="J2" s="3"/>
      <c r="K2" s="3"/>
      <c r="L2" s="5" t="s">
        <v>327</v>
      </c>
      <c r="M2" s="5"/>
      <c r="N2" s="5"/>
      <c r="O2" s="5"/>
      <c r="P2" s="5"/>
      <c r="Q2" s="5"/>
      <c r="R2" s="5"/>
      <c r="S2" s="5"/>
      <c r="T2" s="5"/>
    </row>
    <row r="3" spans="2:20">
      <c r="B3" s="6"/>
      <c r="C3" s="6"/>
      <c r="D3" s="6"/>
      <c r="E3" s="6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2:20">
      <c r="B4" s="6"/>
      <c r="C4" s="7" t="s">
        <v>329</v>
      </c>
      <c r="D4" s="7"/>
      <c r="E4" s="7"/>
      <c r="F4" s="7"/>
      <c r="G4" s="6"/>
      <c r="I4" s="6"/>
      <c r="J4" s="8" t="s">
        <v>330</v>
      </c>
      <c r="K4" s="8" t="s">
        <v>331</v>
      </c>
      <c r="L4" s="8" t="s">
        <v>332</v>
      </c>
      <c r="M4" s="8" t="s">
        <v>333</v>
      </c>
      <c r="N4" s="8" t="s">
        <v>334</v>
      </c>
      <c r="O4" s="8" t="s">
        <v>335</v>
      </c>
      <c r="P4" s="8" t="s">
        <v>336</v>
      </c>
      <c r="Q4" s="8" t="s">
        <v>337</v>
      </c>
      <c r="R4" s="8" t="s">
        <v>338</v>
      </c>
      <c r="S4" s="8" t="s">
        <v>339</v>
      </c>
      <c r="T4" s="6"/>
    </row>
    <row r="5" spans="2:20">
      <c r="B5" s="6"/>
      <c r="C5" s="9" t="s">
        <v>340</v>
      </c>
      <c r="D5" s="9" t="s">
        <v>341</v>
      </c>
      <c r="E5" s="9" t="s">
        <v>342</v>
      </c>
      <c r="F5" s="9" t="s">
        <v>159</v>
      </c>
      <c r="G5" s="6"/>
      <c r="I5" s="6"/>
      <c r="T5" s="6"/>
    </row>
    <row r="6" spans="2:20">
      <c r="B6" s="6"/>
      <c r="C6" s="10"/>
      <c r="D6" s="11">
        <f>SUM(F9:F18)</f>
        <v>0</v>
      </c>
      <c r="E6" s="11">
        <f>SUM(F21:F50)</f>
        <v>0</v>
      </c>
      <c r="F6" s="11">
        <f>C6-D6-E6</f>
        <v>0</v>
      </c>
      <c r="G6" s="6"/>
      <c r="I6" s="6"/>
      <c r="T6" s="6"/>
    </row>
    <row r="7" spans="2:20">
      <c r="B7" s="6"/>
      <c r="C7" s="12" t="s">
        <v>343</v>
      </c>
      <c r="D7" s="12"/>
      <c r="E7" s="12"/>
      <c r="F7" s="12"/>
      <c r="G7" s="6"/>
      <c r="I7" s="6"/>
      <c r="T7" s="6"/>
    </row>
    <row r="8" spans="2:20">
      <c r="B8" s="6"/>
      <c r="C8" s="13" t="s">
        <v>344</v>
      </c>
      <c r="D8" s="9" t="s">
        <v>345</v>
      </c>
      <c r="E8" s="9" t="s">
        <v>346</v>
      </c>
      <c r="F8" s="9" t="s">
        <v>347</v>
      </c>
      <c r="G8" s="6"/>
      <c r="I8" s="6"/>
      <c r="T8" s="6"/>
    </row>
    <row r="9" spans="2:20">
      <c r="B9" s="6"/>
      <c r="C9" s="14" t="s">
        <v>348</v>
      </c>
      <c r="D9" s="10"/>
      <c r="E9" s="10"/>
      <c r="F9" s="10"/>
      <c r="G9" s="6"/>
      <c r="I9" s="6"/>
      <c r="T9" s="6"/>
    </row>
    <row r="10" spans="2:20">
      <c r="B10" s="6"/>
      <c r="C10" s="15" t="s">
        <v>349</v>
      </c>
      <c r="D10" s="10"/>
      <c r="E10" s="10"/>
      <c r="F10" s="10"/>
      <c r="G10" s="6"/>
      <c r="I10" s="6"/>
      <c r="T10" s="6"/>
    </row>
    <row r="11" spans="2:20">
      <c r="B11" s="6"/>
      <c r="C11" s="15" t="s">
        <v>350</v>
      </c>
      <c r="D11" s="10"/>
      <c r="E11" s="10"/>
      <c r="F11" s="10"/>
      <c r="G11" s="6"/>
      <c r="I11" s="6"/>
      <c r="T11" s="6"/>
    </row>
    <row r="12" spans="2:20">
      <c r="B12" s="6"/>
      <c r="C12" s="15" t="s">
        <v>351</v>
      </c>
      <c r="D12" s="10"/>
      <c r="E12" s="10"/>
      <c r="F12" s="10"/>
      <c r="G12" s="6"/>
      <c r="I12" s="6"/>
      <c r="T12" s="6"/>
    </row>
    <row r="13" spans="2:20">
      <c r="B13" s="6"/>
      <c r="C13" s="15" t="s">
        <v>352</v>
      </c>
      <c r="D13" s="10"/>
      <c r="E13" s="10"/>
      <c r="F13" s="10"/>
      <c r="G13" s="6"/>
      <c r="I13" s="6"/>
      <c r="T13" s="6"/>
    </row>
    <row r="14" spans="2:20">
      <c r="B14" s="6"/>
      <c r="C14" s="15" t="s">
        <v>353</v>
      </c>
      <c r="D14" s="10"/>
      <c r="E14" s="10"/>
      <c r="F14" s="10"/>
      <c r="G14" s="6"/>
      <c r="I14" s="6"/>
      <c r="T14" s="6"/>
    </row>
    <row r="15" spans="2:20">
      <c r="B15" s="6"/>
      <c r="C15" s="15" t="s">
        <v>354</v>
      </c>
      <c r="D15" s="10"/>
      <c r="E15" s="10"/>
      <c r="F15" s="10"/>
      <c r="G15" s="6"/>
      <c r="I15" s="6"/>
      <c r="T15" s="6"/>
    </row>
    <row r="16" spans="2:20">
      <c r="B16" s="6"/>
      <c r="C16" s="15" t="s">
        <v>355</v>
      </c>
      <c r="D16" s="10"/>
      <c r="E16" s="10"/>
      <c r="F16" s="10"/>
      <c r="G16" s="6"/>
      <c r="I16" s="6"/>
      <c r="T16" s="6"/>
    </row>
    <row r="17" spans="2:20">
      <c r="B17" s="6"/>
      <c r="C17" s="15" t="s">
        <v>356</v>
      </c>
      <c r="D17" s="10"/>
      <c r="E17" s="10"/>
      <c r="F17" s="10"/>
      <c r="G17" s="6"/>
      <c r="I17" s="6"/>
      <c r="T17" s="6"/>
    </row>
    <row r="18" spans="2:20">
      <c r="B18" s="6"/>
      <c r="C18" s="16" t="s">
        <v>357</v>
      </c>
      <c r="D18" s="10"/>
      <c r="E18" s="10"/>
      <c r="F18" s="10"/>
      <c r="G18" s="6"/>
      <c r="I18" s="6"/>
      <c r="T18" s="6"/>
    </row>
    <row r="19" spans="2:20">
      <c r="B19" s="6"/>
      <c r="C19" s="12" t="s">
        <v>358</v>
      </c>
      <c r="D19" s="12"/>
      <c r="E19" s="12"/>
      <c r="F19" s="12"/>
      <c r="G19" s="6"/>
      <c r="I19" s="6"/>
      <c r="T19" s="6"/>
    </row>
    <row r="20" spans="2:20">
      <c r="B20" s="6"/>
      <c r="C20" s="17" t="s">
        <v>359</v>
      </c>
      <c r="D20" s="17" t="s">
        <v>360</v>
      </c>
      <c r="E20" s="17" t="s">
        <v>361</v>
      </c>
      <c r="F20" s="17" t="s">
        <v>347</v>
      </c>
      <c r="G20" s="6"/>
      <c r="I20" s="6"/>
      <c r="T20" s="6"/>
    </row>
    <row r="21" spans="2:20">
      <c r="B21" s="6"/>
      <c r="C21" s="10"/>
      <c r="D21" s="10"/>
      <c r="E21" s="10"/>
      <c r="F21" s="10"/>
      <c r="G21" s="6"/>
      <c r="I21" s="6"/>
      <c r="T21" s="6"/>
    </row>
    <row r="22" spans="2:20">
      <c r="B22" s="6"/>
      <c r="C22" s="10"/>
      <c r="D22" s="10"/>
      <c r="E22" s="10"/>
      <c r="F22" s="10"/>
      <c r="G22" s="6"/>
      <c r="I22" s="6"/>
      <c r="T22" s="6"/>
    </row>
    <row r="23" spans="2:20">
      <c r="B23" s="6"/>
      <c r="C23" s="10"/>
      <c r="D23" s="10"/>
      <c r="E23" s="10"/>
      <c r="F23" s="10"/>
      <c r="G23" s="6"/>
      <c r="I23" s="6"/>
      <c r="T23" s="6"/>
    </row>
    <row r="24" spans="2:20">
      <c r="B24" s="6"/>
      <c r="C24" s="10"/>
      <c r="D24" s="10"/>
      <c r="E24" s="10"/>
      <c r="F24" s="10"/>
      <c r="G24" s="6"/>
      <c r="I24" s="6"/>
      <c r="T24" s="6"/>
    </row>
    <row r="25" spans="2:20">
      <c r="B25" s="6"/>
      <c r="C25" s="10"/>
      <c r="D25" s="10"/>
      <c r="E25" s="10"/>
      <c r="F25" s="10"/>
      <c r="G25" s="6"/>
      <c r="I25" s="6"/>
      <c r="T25" s="6"/>
    </row>
    <row r="26" spans="2:20">
      <c r="B26" s="6"/>
      <c r="C26" s="10"/>
      <c r="D26" s="10"/>
      <c r="E26" s="10"/>
      <c r="F26" s="10"/>
      <c r="G26" s="6"/>
      <c r="I26" s="6"/>
      <c r="T26" s="6"/>
    </row>
    <row r="27" spans="2:20">
      <c r="B27" s="6"/>
      <c r="C27" s="10"/>
      <c r="D27" s="10"/>
      <c r="E27" s="10"/>
      <c r="F27" s="10"/>
      <c r="G27" s="6"/>
      <c r="I27" s="6"/>
      <c r="T27" s="6"/>
    </row>
    <row r="28" spans="2:20">
      <c r="B28" s="6"/>
      <c r="C28" s="10"/>
      <c r="D28" s="10"/>
      <c r="E28" s="10"/>
      <c r="F28" s="10"/>
      <c r="G28" s="6"/>
      <c r="I28" s="6"/>
      <c r="T28" s="6"/>
    </row>
    <row r="29" spans="2:20">
      <c r="B29" s="6"/>
      <c r="C29" s="10"/>
      <c r="D29" s="10"/>
      <c r="E29" s="10"/>
      <c r="F29" s="10"/>
      <c r="G29" s="6"/>
      <c r="I29" s="6"/>
      <c r="T29" s="6"/>
    </row>
    <row r="30" spans="2:20">
      <c r="B30" s="6"/>
      <c r="C30" s="10"/>
      <c r="D30" s="10"/>
      <c r="E30" s="10"/>
      <c r="F30" s="10"/>
      <c r="G30" s="6"/>
      <c r="I30" s="6"/>
      <c r="T30" s="6"/>
    </row>
    <row r="31" spans="2:20">
      <c r="B31" s="6"/>
      <c r="C31" s="10"/>
      <c r="D31" s="10"/>
      <c r="E31" s="10"/>
      <c r="F31" s="10"/>
      <c r="G31" s="6"/>
      <c r="I31" s="6"/>
      <c r="T31" s="6"/>
    </row>
    <row r="32" spans="2:20">
      <c r="B32" s="6"/>
      <c r="C32" s="10"/>
      <c r="D32" s="10"/>
      <c r="E32" s="10"/>
      <c r="F32" s="10"/>
      <c r="G32" s="6"/>
      <c r="I32" s="6"/>
      <c r="T32" s="6"/>
    </row>
    <row r="33" spans="2:20">
      <c r="B33" s="6"/>
      <c r="C33" s="10"/>
      <c r="D33" s="10"/>
      <c r="E33" s="10"/>
      <c r="F33" s="10"/>
      <c r="G33" s="6"/>
      <c r="I33" s="6"/>
      <c r="T33" s="6"/>
    </row>
    <row r="34" spans="2:20">
      <c r="B34" s="6"/>
      <c r="C34" s="10"/>
      <c r="D34" s="10"/>
      <c r="E34" s="10"/>
      <c r="F34" s="10"/>
      <c r="G34" s="6"/>
      <c r="I34" s="6"/>
      <c r="T34" s="6"/>
    </row>
    <row r="35" spans="2:20">
      <c r="B35" s="6"/>
      <c r="C35" s="10"/>
      <c r="D35" s="10"/>
      <c r="E35" s="10"/>
      <c r="F35" s="10"/>
      <c r="G35" s="6"/>
      <c r="I35" s="6"/>
      <c r="T35" s="6"/>
    </row>
    <row r="36" spans="2:20">
      <c r="B36" s="6"/>
      <c r="C36" s="10"/>
      <c r="D36" s="10"/>
      <c r="E36" s="10"/>
      <c r="F36" s="10"/>
      <c r="G36" s="6"/>
      <c r="I36" s="6"/>
      <c r="T36" s="6"/>
    </row>
    <row r="37" spans="2:20">
      <c r="B37" s="6"/>
      <c r="C37" s="10"/>
      <c r="D37" s="10"/>
      <c r="E37" s="10"/>
      <c r="F37" s="10"/>
      <c r="G37" s="6"/>
      <c r="I37" s="6"/>
      <c r="T37" s="6"/>
    </row>
    <row r="38" spans="2:20">
      <c r="B38" s="6"/>
      <c r="C38" s="10"/>
      <c r="D38" s="10"/>
      <c r="E38" s="10"/>
      <c r="F38" s="10"/>
      <c r="G38" s="6"/>
      <c r="I38" s="6"/>
      <c r="T38" s="6"/>
    </row>
    <row r="39" spans="2:20">
      <c r="B39" s="6"/>
      <c r="C39" s="10"/>
      <c r="D39" s="10"/>
      <c r="E39" s="10"/>
      <c r="F39" s="10"/>
      <c r="G39" s="6"/>
      <c r="I39" s="6"/>
      <c r="T39" s="6"/>
    </row>
    <row r="40" spans="2:20">
      <c r="B40" s="6"/>
      <c r="C40" s="10"/>
      <c r="D40" s="10"/>
      <c r="E40" s="10"/>
      <c r="F40" s="10"/>
      <c r="G40" s="6"/>
      <c r="I40" s="6"/>
      <c r="T40" s="6"/>
    </row>
    <row r="41" spans="2:20">
      <c r="B41" s="6"/>
      <c r="C41" s="10"/>
      <c r="D41" s="10"/>
      <c r="E41" s="10"/>
      <c r="F41" s="10"/>
      <c r="G41" s="6"/>
      <c r="I41" s="6"/>
      <c r="T41" s="6"/>
    </row>
    <row r="42" spans="2:20">
      <c r="B42" s="6"/>
      <c r="C42" s="10"/>
      <c r="D42" s="10"/>
      <c r="E42" s="10"/>
      <c r="F42" s="10"/>
      <c r="G42" s="6"/>
      <c r="I42" s="6"/>
      <c r="T42" s="6"/>
    </row>
    <row r="43" spans="2:20">
      <c r="B43" s="6"/>
      <c r="C43" s="10"/>
      <c r="D43" s="10"/>
      <c r="E43" s="10"/>
      <c r="F43" s="10"/>
      <c r="G43" s="6"/>
      <c r="I43" s="6"/>
      <c r="T43" s="6"/>
    </row>
    <row r="44" spans="2:20">
      <c r="B44" s="6"/>
      <c r="C44" s="10"/>
      <c r="D44" s="10"/>
      <c r="E44" s="10"/>
      <c r="F44" s="10"/>
      <c r="G44" s="6"/>
      <c r="I44" s="6"/>
      <c r="T44" s="6"/>
    </row>
    <row r="45" spans="2:20">
      <c r="B45" s="6"/>
      <c r="C45" s="10"/>
      <c r="D45" s="10"/>
      <c r="E45" s="10"/>
      <c r="F45" s="10"/>
      <c r="G45" s="6"/>
      <c r="I45" s="6"/>
      <c r="T45" s="6"/>
    </row>
    <row r="46" spans="2:20">
      <c r="B46" s="6"/>
      <c r="C46" s="10"/>
      <c r="D46" s="10"/>
      <c r="E46" s="10"/>
      <c r="F46" s="10"/>
      <c r="G46" s="6"/>
      <c r="I46" s="6"/>
      <c r="T46" s="6"/>
    </row>
    <row r="47" spans="2:20">
      <c r="B47" s="6"/>
      <c r="C47" s="10"/>
      <c r="D47" s="10"/>
      <c r="E47" s="10"/>
      <c r="F47" s="10"/>
      <c r="G47" s="6"/>
      <c r="I47" s="6"/>
      <c r="T47" s="6"/>
    </row>
    <row r="48" spans="2:20">
      <c r="B48" s="6"/>
      <c r="C48" s="10"/>
      <c r="D48" s="10"/>
      <c r="E48" s="10"/>
      <c r="F48" s="10"/>
      <c r="G48" s="6"/>
      <c r="I48" s="6"/>
      <c r="T48" s="6"/>
    </row>
    <row r="49" spans="2:20">
      <c r="B49" s="6"/>
      <c r="C49" s="10"/>
      <c r="D49" s="10"/>
      <c r="E49" s="10"/>
      <c r="F49" s="10"/>
      <c r="G49" s="6"/>
      <c r="I49" s="6"/>
      <c r="T49" s="6"/>
    </row>
    <row r="50" spans="2:20">
      <c r="B50" s="6"/>
      <c r="C50" s="10"/>
      <c r="D50" s="10"/>
      <c r="E50" s="10"/>
      <c r="F50" s="10"/>
      <c r="G50" s="6"/>
      <c r="I50" s="6"/>
      <c r="T50" s="6"/>
    </row>
    <row r="51" spans="2:20">
      <c r="B51" s="6"/>
      <c r="C51" s="6"/>
      <c r="D51" s="6"/>
      <c r="E51" s="6"/>
      <c r="F51" s="6"/>
      <c r="G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</sheetData>
  <mergeCells count="5">
    <mergeCell ref="E2:G2"/>
    <mergeCell ref="L2:T2"/>
    <mergeCell ref="C4:F4"/>
    <mergeCell ref="C7:F7"/>
    <mergeCell ref="C19:F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自动卡用户手册</vt:lpstr>
      <vt:lpstr>人物卡</vt:lpstr>
      <vt:lpstr>装备卡</vt:lpstr>
      <vt:lpstr>状态表</vt:lpstr>
      <vt:lpstr>RP卡</vt:lpstr>
      <vt:lpstr>成长表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22947</dc:creator>
  <cp:lastModifiedBy>憔悴。</cp:lastModifiedBy>
  <dcterms:created xsi:type="dcterms:W3CDTF">2025-04-07T03:42:00Z</dcterms:created>
  <dcterms:modified xsi:type="dcterms:W3CDTF">2026-09-17T06:14:42Z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836D0C27C2AF4CD9BCD21677432E6EFD_13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